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c7308fcf3fd5fa84/Documents/DATA ANALYST JOURNEY/"/>
    </mc:Choice>
  </mc:AlternateContent>
  <xr:revisionPtr revIDLastSave="369" documentId="8_{CBE705F2-BB86-4AEE-82DA-3B1C93E3A7D4}" xr6:coauthVersionLast="47" xr6:coauthVersionMax="47" xr10:uidLastSave="{D3D0DFC3-F209-4125-BCAB-4E8D423B1936}"/>
  <bookViews>
    <workbookView xWindow="-113" yWindow="-113" windowWidth="24267" windowHeight="13023" activeTab="2" xr2:uid="{6F6057CA-B2AD-480A-872D-BD28ED716309}"/>
  </bookViews>
  <sheets>
    <sheet name="Sales Data" sheetId="1" r:id="rId1"/>
    <sheet name="Pivot" sheetId="3" r:id="rId2"/>
    <sheet name="Sales Dashboard" sheetId="4" r:id="rId3"/>
  </sheets>
  <definedNames>
    <definedName name="Slicer_Category">#N/A</definedName>
    <definedName name="Slicer_Month">#N/A</definedName>
    <definedName name="Slicer_Region">#N/A</definedName>
  </definedNames>
  <calcPr calcId="191029"/>
  <pivotCaches>
    <pivotCache cacheId="8"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6" i="4" l="1"/>
  <c r="E6" i="4"/>
  <c r="C6" i="4"/>
  <c r="A6" i="4"/>
</calcChain>
</file>

<file path=xl/sharedStrings.xml><?xml version="1.0" encoding="utf-8"?>
<sst xmlns="http://schemas.openxmlformats.org/spreadsheetml/2006/main" count="81" uniqueCount="32">
  <si>
    <t>DAY 11 - INTERACTIVE DASHBOARD</t>
  </si>
  <si>
    <t>Month</t>
  </si>
  <si>
    <t>Region</t>
  </si>
  <si>
    <t>Category</t>
  </si>
  <si>
    <t>Sales</t>
  </si>
  <si>
    <t>Profit</t>
  </si>
  <si>
    <t>Orders</t>
  </si>
  <si>
    <t>Jan</t>
  </si>
  <si>
    <t>North</t>
  </si>
  <si>
    <t>Electronics</t>
  </si>
  <si>
    <t>South</t>
  </si>
  <si>
    <t>Furniture</t>
  </si>
  <si>
    <t>Feb</t>
  </si>
  <si>
    <t>East</t>
  </si>
  <si>
    <t>Grocery</t>
  </si>
  <si>
    <t>West</t>
  </si>
  <si>
    <t>Fashion</t>
  </si>
  <si>
    <t>Mar</t>
  </si>
  <si>
    <t>Apr</t>
  </si>
  <si>
    <t>May</t>
  </si>
  <si>
    <t>Jun</t>
  </si>
  <si>
    <t>Row Labels</t>
  </si>
  <si>
    <t>Grand Total</t>
  </si>
  <si>
    <t>Sum of Sales</t>
  </si>
  <si>
    <t>Sum of Profit</t>
  </si>
  <si>
    <t>Sum of Orders</t>
  </si>
  <si>
    <t>DAY 11 - INTERACTIVE DASHBOARD : MINI PROJECT</t>
  </si>
  <si>
    <t>Sales Dashboard</t>
  </si>
  <si>
    <t>Total Sales</t>
  </si>
  <si>
    <t>Total Profit</t>
  </si>
  <si>
    <t>Total Orders</t>
  </si>
  <si>
    <t>Average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</si>
</sst>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3" formatCode="&quot;₹&quot;\ #,##0"/>
  </numFmts>
  <fonts count="6" x14ac:knownFonts="1">
    <font>
      <sz val="11"/>
      <color theme="1"/>
      <name val="Calibri"/>
      <family val="2"/>
      <scheme val="minor"/>
    </font>
    <font>
      <b/>
      <sz val="11"/>
      <color theme="1"/>
      <name val="Calibri"/>
      <family val="2"/>
      <scheme val="minor"/>
    </font>
    <font>
      <b/>
      <sz val="18"/>
      <color theme="0"/>
      <name val="Calibri"/>
      <family val="2"/>
      <scheme val="minor"/>
    </font>
    <font>
      <b/>
      <sz val="20"/>
      <color theme="0"/>
      <name val="Calibri"/>
      <family val="2"/>
      <scheme val="minor"/>
    </font>
    <font>
      <b/>
      <sz val="18"/>
      <color theme="1"/>
      <name val="Calibri"/>
      <family val="2"/>
      <scheme val="minor"/>
    </font>
    <font>
      <b/>
      <sz val="22"/>
      <color theme="1"/>
      <name val="Calibri"/>
      <family val="2"/>
      <scheme val="minor"/>
    </font>
  </fonts>
  <fills count="4">
    <fill>
      <patternFill patternType="none"/>
    </fill>
    <fill>
      <patternFill patternType="gray125"/>
    </fill>
    <fill>
      <patternFill patternType="solid">
        <fgColor rgb="FF002060"/>
        <bgColor indexed="64"/>
      </patternFill>
    </fill>
    <fill>
      <patternFill patternType="solid">
        <fgColor theme="7"/>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vertical="center" wrapText="1"/>
    </xf>
    <xf numFmtId="0" fontId="2" fillId="2" borderId="0" xfId="0" applyFont="1" applyFill="1" applyAlignment="1">
      <alignment horizontal="center"/>
    </xf>
    <xf numFmtId="0" fontId="0" fillId="0" borderId="0" xfId="0" pivotButton="1"/>
    <xf numFmtId="0" fontId="0" fillId="0" borderId="0" xfId="0" applyAlignment="1">
      <alignment horizontal="left"/>
    </xf>
    <xf numFmtId="0" fontId="0" fillId="0" borderId="0" xfId="0" applyNumberFormat="1"/>
    <xf numFmtId="0" fontId="3" fillId="2" borderId="0" xfId="0" applyFont="1" applyFill="1" applyAlignment="1">
      <alignment horizontal="center"/>
    </xf>
    <xf numFmtId="0" fontId="4" fillId="0" borderId="0" xfId="0" applyFont="1"/>
    <xf numFmtId="0" fontId="5" fillId="3" borderId="0" xfId="0" applyFont="1" applyFill="1"/>
    <xf numFmtId="173" fontId="4" fillId="0" borderId="0" xfId="0" applyNumberFormat="1" applyFont="1"/>
  </cellXfs>
  <cellStyles count="1">
    <cellStyle name="Normal" xfId="0" builtinId="0"/>
  </cellStyles>
  <dxfs count="19">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color rgb="FF9C0006"/>
      </font>
      <fill>
        <patternFill>
          <bgColor rgb="FFFFC7CE"/>
        </patternFill>
      </fill>
    </dxf>
    <dxf>
      <font>
        <color rgb="FF006100"/>
      </font>
      <fill>
        <patternFill>
          <bgColor rgb="FFC6EFCE"/>
        </patternFill>
      </fill>
    </dxf>
    <dxf>
      <fill>
        <patternFill>
          <bgColor rgb="FFFF0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9" tint="0.39994506668294322"/>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[Day_11_Interactive_Dashboard.xlsx]Pivot!PivotTable1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c:f>
              <c:strCache>
                <c:ptCount val="1"/>
                <c:pt idx="0">
                  <c:v>Total</c:v>
                </c:pt>
              </c:strCache>
            </c:strRef>
          </c:tx>
          <c:spPr>
            <a:solidFill>
              <a:schemeClr val="accent1"/>
            </a:solidFill>
            <a:ln>
              <a:noFill/>
            </a:ln>
            <a:effectLst/>
          </c:spPr>
          <c:invertIfNegative val="0"/>
          <c:cat>
            <c:strRef>
              <c:f>Pivot!$A$2:$A$8</c:f>
              <c:strCache>
                <c:ptCount val="6"/>
                <c:pt idx="0">
                  <c:v>Jan</c:v>
                </c:pt>
                <c:pt idx="1">
                  <c:v>Feb</c:v>
                </c:pt>
                <c:pt idx="2">
                  <c:v>Mar</c:v>
                </c:pt>
                <c:pt idx="3">
                  <c:v>Apr</c:v>
                </c:pt>
                <c:pt idx="4">
                  <c:v>May</c:v>
                </c:pt>
                <c:pt idx="5">
                  <c:v>Jun</c:v>
                </c:pt>
              </c:strCache>
            </c:strRef>
          </c:cat>
          <c:val>
            <c:numRef>
              <c:f>Pivot!$B$2:$B$8</c:f>
              <c:numCache>
                <c:formatCode>General</c:formatCode>
                <c:ptCount val="6"/>
                <c:pt idx="0">
                  <c:v>155000</c:v>
                </c:pt>
                <c:pt idx="1">
                  <c:v>155000</c:v>
                </c:pt>
                <c:pt idx="2">
                  <c:v>205000</c:v>
                </c:pt>
                <c:pt idx="3">
                  <c:v>180000</c:v>
                </c:pt>
                <c:pt idx="4">
                  <c:v>225000</c:v>
                </c:pt>
                <c:pt idx="5">
                  <c:v>245000</c:v>
                </c:pt>
              </c:numCache>
            </c:numRef>
          </c:val>
          <c:extLst>
            <c:ext xmlns:c16="http://schemas.microsoft.com/office/drawing/2014/chart" uri="{C3380CC4-5D6E-409C-BE32-E72D297353CC}">
              <c16:uniqueId val="{00000000-6511-44BF-A6E9-F7616EA4F8A8}"/>
            </c:ext>
          </c:extLst>
        </c:ser>
        <c:dLbls>
          <c:showLegendKey val="0"/>
          <c:showVal val="0"/>
          <c:showCatName val="0"/>
          <c:showSerName val="0"/>
          <c:showPercent val="0"/>
          <c:showBubbleSize val="0"/>
        </c:dLbls>
        <c:gapWidth val="219"/>
        <c:overlap val="-27"/>
        <c:axId val="126150640"/>
        <c:axId val="126151120"/>
      </c:barChart>
      <c:catAx>
        <c:axId val="12615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51120"/>
        <c:crosses val="autoZero"/>
        <c:auto val="1"/>
        <c:lblAlgn val="ctr"/>
        <c:lblOffset val="100"/>
        <c:noMultiLvlLbl val="0"/>
      </c:catAx>
      <c:valAx>
        <c:axId val="126151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150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[Day_11_Interactive_Dashboard.xlsx]Pivot!PivotTable2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layout>
        <c:manualLayout>
          <c:xMode val="edge"/>
          <c:yMode val="edge"/>
          <c:x val="0.29004468599033817"/>
          <c:y val="0.10928981481481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0.26922318840579712"/>
          <c:y val="0.2814550925925926"/>
          <c:w val="0.3135403381642512"/>
          <c:h val="0.60095231481481481"/>
        </c:manualLayout>
      </c:layout>
      <c:pieChart>
        <c:varyColors val="1"/>
        <c:ser>
          <c:idx val="0"/>
          <c:order val="0"/>
          <c:tx>
            <c:strRef>
              <c:f>Pivot!$E$1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5E0-40CD-B25C-5B76D22783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5E0-40CD-B25C-5B76D227833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5E0-40CD-B25C-5B76D227833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5E0-40CD-B25C-5B76D2278332}"/>
              </c:ext>
            </c:extLst>
          </c:dPt>
          <c:cat>
            <c:strRef>
              <c:f>Pivot!$D$2:$D$6</c:f>
              <c:strCache>
                <c:ptCount val="4"/>
                <c:pt idx="0">
                  <c:v>East</c:v>
                </c:pt>
                <c:pt idx="1">
                  <c:v>North</c:v>
                </c:pt>
                <c:pt idx="2">
                  <c:v>South</c:v>
                </c:pt>
                <c:pt idx="3">
                  <c:v>West</c:v>
                </c:pt>
              </c:strCache>
            </c:strRef>
          </c:cat>
          <c:val>
            <c:numRef>
              <c:f>Pivot!$E$2:$E$6</c:f>
              <c:numCache>
                <c:formatCode>General</c:formatCode>
                <c:ptCount val="4"/>
                <c:pt idx="0">
                  <c:v>285000</c:v>
                </c:pt>
                <c:pt idx="1">
                  <c:v>320000</c:v>
                </c:pt>
                <c:pt idx="2">
                  <c:v>265000</c:v>
                </c:pt>
                <c:pt idx="3">
                  <c:v>295000</c:v>
                </c:pt>
              </c:numCache>
            </c:numRef>
          </c:val>
          <c:extLst>
            <c:ext xmlns:c16="http://schemas.microsoft.com/office/drawing/2014/chart" uri="{C3380CC4-5D6E-409C-BE32-E72D297353CC}">
              <c16:uniqueId val="{00000008-45E0-40CD-B25C-5B76D2278332}"/>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8330938346063363"/>
          <c:y val="0.21145105606978545"/>
          <c:w val="0.24541497905736054"/>
          <c:h val="0.680979713605048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[Day_11_Interactive_Dashboard.xlsx]Pivot!PivotTable3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Pivot!$H$1</c:f>
              <c:strCache>
                <c:ptCount val="1"/>
                <c:pt idx="0">
                  <c:v>Total</c:v>
                </c:pt>
              </c:strCache>
            </c:strRef>
          </c:tx>
          <c:spPr>
            <a:ln w="28575" cap="rnd">
              <a:solidFill>
                <a:schemeClr val="accent1"/>
              </a:solidFill>
              <a:round/>
            </a:ln>
            <a:effectLst/>
          </c:spPr>
          <c:marker>
            <c:symbol val="none"/>
          </c:marker>
          <c:cat>
            <c:strRef>
              <c:f>Pivot!$G$2:$G$6</c:f>
              <c:strCache>
                <c:ptCount val="4"/>
                <c:pt idx="0">
                  <c:v>Electronics</c:v>
                </c:pt>
                <c:pt idx="1">
                  <c:v>Fashion</c:v>
                </c:pt>
                <c:pt idx="2">
                  <c:v>Furniture</c:v>
                </c:pt>
                <c:pt idx="3">
                  <c:v>Grocery</c:v>
                </c:pt>
              </c:strCache>
            </c:strRef>
          </c:cat>
          <c:val>
            <c:numRef>
              <c:f>Pivot!$H$2:$H$6</c:f>
              <c:numCache>
                <c:formatCode>General</c:formatCode>
                <c:ptCount val="4"/>
                <c:pt idx="0">
                  <c:v>41500</c:v>
                </c:pt>
                <c:pt idx="1">
                  <c:v>43000</c:v>
                </c:pt>
                <c:pt idx="2">
                  <c:v>35000</c:v>
                </c:pt>
                <c:pt idx="3">
                  <c:v>39500</c:v>
                </c:pt>
              </c:numCache>
            </c:numRef>
          </c:val>
          <c:smooth val="0"/>
          <c:extLst>
            <c:ext xmlns:c16="http://schemas.microsoft.com/office/drawing/2014/chart" uri="{C3380CC4-5D6E-409C-BE32-E72D297353CC}">
              <c16:uniqueId val="{00000000-FE7F-4C8C-98F9-764C4652FA4A}"/>
            </c:ext>
          </c:extLst>
        </c:ser>
        <c:dLbls>
          <c:showLegendKey val="0"/>
          <c:showVal val="0"/>
          <c:showCatName val="0"/>
          <c:showSerName val="0"/>
          <c:showPercent val="0"/>
          <c:showBubbleSize val="0"/>
        </c:dLbls>
        <c:smooth val="0"/>
        <c:axId val="708756640"/>
        <c:axId val="708768640"/>
      </c:lineChart>
      <c:catAx>
        <c:axId val="708756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768640"/>
        <c:crosses val="autoZero"/>
        <c:auto val="1"/>
        <c:lblAlgn val="ctr"/>
        <c:lblOffset val="100"/>
        <c:noMultiLvlLbl val="0"/>
      </c:catAx>
      <c:valAx>
        <c:axId val="708768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756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[Day_11_Interactive_Dashboard.xlsx]Pivot!PivotTable4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Pivot!$K$1</c:f>
              <c:strCache>
                <c:ptCount val="1"/>
                <c:pt idx="0">
                  <c:v>Total</c:v>
                </c:pt>
              </c:strCache>
            </c:strRef>
          </c:tx>
          <c:spPr>
            <a:solidFill>
              <a:schemeClr val="accent1"/>
            </a:solidFill>
            <a:ln>
              <a:noFill/>
            </a:ln>
            <a:effectLst/>
          </c:spPr>
          <c:invertIfNegative val="0"/>
          <c:cat>
            <c:strRef>
              <c:f>Pivot!$J$2:$J$8</c:f>
              <c:strCache>
                <c:ptCount val="6"/>
                <c:pt idx="0">
                  <c:v>Jan</c:v>
                </c:pt>
                <c:pt idx="1">
                  <c:v>Feb</c:v>
                </c:pt>
                <c:pt idx="2">
                  <c:v>Mar</c:v>
                </c:pt>
                <c:pt idx="3">
                  <c:v>Apr</c:v>
                </c:pt>
                <c:pt idx="4">
                  <c:v>May</c:v>
                </c:pt>
                <c:pt idx="5">
                  <c:v>Jun</c:v>
                </c:pt>
              </c:strCache>
            </c:strRef>
          </c:cat>
          <c:val>
            <c:numRef>
              <c:f>Pivot!$K$2:$K$8</c:f>
              <c:numCache>
                <c:formatCode>General</c:formatCode>
                <c:ptCount val="6"/>
                <c:pt idx="0">
                  <c:v>210</c:v>
                </c:pt>
                <c:pt idx="1">
                  <c:v>205</c:v>
                </c:pt>
                <c:pt idx="2">
                  <c:v>265</c:v>
                </c:pt>
                <c:pt idx="3">
                  <c:v>230</c:v>
                </c:pt>
                <c:pt idx="4">
                  <c:v>290</c:v>
                </c:pt>
                <c:pt idx="5">
                  <c:v>315</c:v>
                </c:pt>
              </c:numCache>
            </c:numRef>
          </c:val>
          <c:extLst>
            <c:ext xmlns:c16="http://schemas.microsoft.com/office/drawing/2014/chart" uri="{C3380CC4-5D6E-409C-BE32-E72D297353CC}">
              <c16:uniqueId val="{00000000-D8E5-48F7-9CDB-E5DFAD63EA86}"/>
            </c:ext>
          </c:extLst>
        </c:ser>
        <c:dLbls>
          <c:showLegendKey val="0"/>
          <c:showVal val="0"/>
          <c:showCatName val="0"/>
          <c:showSerName val="0"/>
          <c:showPercent val="0"/>
          <c:showBubbleSize val="0"/>
        </c:dLbls>
        <c:gapWidth val="182"/>
        <c:axId val="732266160"/>
        <c:axId val="732270000"/>
      </c:barChart>
      <c:catAx>
        <c:axId val="732266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270000"/>
        <c:crosses val="autoZero"/>
        <c:auto val="1"/>
        <c:lblAlgn val="ctr"/>
        <c:lblOffset val="100"/>
        <c:noMultiLvlLbl val="0"/>
      </c:catAx>
      <c:valAx>
        <c:axId val="7322700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2266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3</xdr:col>
      <xdr:colOff>365761</xdr:colOff>
      <xdr:row>9</xdr:row>
      <xdr:rowOff>31803</xdr:rowOff>
    </xdr:from>
    <xdr:to>
      <xdr:col>5</xdr:col>
      <xdr:colOff>469128</xdr:colOff>
      <xdr:row>22</xdr:row>
      <xdr:rowOff>102445</xdr:rowOff>
    </xdr:to>
    <mc:AlternateContent xmlns:mc="http://schemas.openxmlformats.org/markup-compatibility/2006">
      <mc:Choice xmlns:a14="http://schemas.microsoft.com/office/drawing/2010/main" Requires="a14">
        <xdr:graphicFrame macro="">
          <xdr:nvGraphicFramePr>
            <xdr:cNvPr id="7" name="Month">
              <a:extLst>
                <a:ext uri="{FF2B5EF4-FFF2-40B4-BE49-F238E27FC236}">
                  <a16:creationId xmlns:a16="http://schemas.microsoft.com/office/drawing/2014/main" id="{F2291172-3F5E-13B0-620F-1F235C2B696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727298" y="1749285"/>
              <a:ext cx="1828800" cy="2551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580445</xdr:colOff>
      <xdr:row>8</xdr:row>
      <xdr:rowOff>190831</xdr:rowOff>
    </xdr:from>
    <xdr:to>
      <xdr:col>8</xdr:col>
      <xdr:colOff>15902</xdr:colOff>
      <xdr:row>22</xdr:row>
      <xdr:rowOff>70641</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6DCA2FE6-3085-ADC9-DE42-EA198CAA976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667415" y="1717481"/>
              <a:ext cx="1828800" cy="2551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182880</xdr:colOff>
      <xdr:row>9</xdr:row>
      <xdr:rowOff>7950</xdr:rowOff>
    </xdr:from>
    <xdr:to>
      <xdr:col>10</xdr:col>
      <xdr:colOff>485030</xdr:colOff>
      <xdr:row>22</xdr:row>
      <xdr:rowOff>78592</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32CE61C6-051B-D280-873F-617F51B253D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663193" y="1725432"/>
              <a:ext cx="1828800" cy="2551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65700</xdr:colOff>
      <xdr:row>7</xdr:row>
      <xdr:rowOff>56496</xdr:rowOff>
    </xdr:from>
    <xdr:to>
      <xdr:col>4</xdr:col>
      <xdr:colOff>204939</xdr:colOff>
      <xdr:row>18</xdr:row>
      <xdr:rowOff>98938</xdr:rowOff>
    </xdr:to>
    <xdr:graphicFrame macro="">
      <xdr:nvGraphicFramePr>
        <xdr:cNvPr id="2" name="Chart 2">
          <a:extLst>
            <a:ext uri="{FF2B5EF4-FFF2-40B4-BE49-F238E27FC236}">
              <a16:creationId xmlns:a16="http://schemas.microsoft.com/office/drawing/2014/main" id="{74D9BA2B-D812-5940-C799-A3203408F3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321818</xdr:colOff>
      <xdr:row>7</xdr:row>
      <xdr:rowOff>81608</xdr:rowOff>
    </xdr:from>
    <xdr:to>
      <xdr:col>7</xdr:col>
      <xdr:colOff>519644</xdr:colOff>
      <xdr:row>18</xdr:row>
      <xdr:rowOff>124050</xdr:rowOff>
    </xdr:to>
    <xdr:graphicFrame macro="">
      <xdr:nvGraphicFramePr>
        <xdr:cNvPr id="3" name="Chart 3">
          <a:extLst>
            <a:ext uri="{FF2B5EF4-FFF2-40B4-BE49-F238E27FC236}">
              <a16:creationId xmlns:a16="http://schemas.microsoft.com/office/drawing/2014/main" id="{F7EB94A6-DB52-DFF6-FE3C-08699BB26A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56915</xdr:colOff>
      <xdr:row>19</xdr:row>
      <xdr:rowOff>44360</xdr:rowOff>
    </xdr:from>
    <xdr:to>
      <xdr:col>4</xdr:col>
      <xdr:colOff>196154</xdr:colOff>
      <xdr:row>30</xdr:row>
      <xdr:rowOff>86802</xdr:rowOff>
    </xdr:to>
    <xdr:graphicFrame macro="">
      <xdr:nvGraphicFramePr>
        <xdr:cNvPr id="4" name="Chart 4">
          <a:extLst>
            <a:ext uri="{FF2B5EF4-FFF2-40B4-BE49-F238E27FC236}">
              <a16:creationId xmlns:a16="http://schemas.microsoft.com/office/drawing/2014/main" id="{F86E5D2A-6728-1E32-0367-A4224AAF44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305077</xdr:colOff>
      <xdr:row>19</xdr:row>
      <xdr:rowOff>44359</xdr:rowOff>
    </xdr:from>
    <xdr:to>
      <xdr:col>7</xdr:col>
      <xdr:colOff>502903</xdr:colOff>
      <xdr:row>30</xdr:row>
      <xdr:rowOff>86801</xdr:rowOff>
    </xdr:to>
    <xdr:graphicFrame macro="">
      <xdr:nvGraphicFramePr>
        <xdr:cNvPr id="5" name="Chart 5">
          <a:extLst>
            <a:ext uri="{FF2B5EF4-FFF2-40B4-BE49-F238E27FC236}">
              <a16:creationId xmlns:a16="http://schemas.microsoft.com/office/drawing/2014/main" id="{AA4AF166-9905-71E9-25C8-D91FAEEA54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unkumar V" refreshedDate="46226.868703125001" createdVersion="8" refreshedVersion="8" minRefreshableVersion="3" recordCount="12" xr:uid="{4D898B75-AD72-4334-8EE4-2867AEEF0B63}">
  <cacheSource type="worksheet">
    <worksheetSource name="Table1"/>
  </cacheSource>
  <cacheFields count="6">
    <cacheField name="Month" numFmtId="0">
      <sharedItems count="6">
        <s v="Jan"/>
        <s v="Feb"/>
        <s v="Mar"/>
        <s v="Apr"/>
        <s v="May"/>
        <s v="Jun"/>
      </sharedItems>
    </cacheField>
    <cacheField name="Region" numFmtId="0">
      <sharedItems count="4">
        <s v="North"/>
        <s v="South"/>
        <s v="East"/>
        <s v="West"/>
      </sharedItems>
    </cacheField>
    <cacheField name="Category" numFmtId="0">
      <sharedItems count="4">
        <s v="Electronics"/>
        <s v="Furniture"/>
        <s v="Grocery"/>
        <s v="Fashion"/>
      </sharedItems>
    </cacheField>
    <cacheField name="Sales" numFmtId="0">
      <sharedItems containsSemiMixedTypes="0" containsString="0" containsNumber="1" containsInteger="1" minValue="65000" maxValue="130000"/>
    </cacheField>
    <cacheField name="Profit" numFmtId="0">
      <sharedItems containsSemiMixedTypes="0" containsString="0" containsNumber="1" containsInteger="1" minValue="9000" maxValue="18000"/>
    </cacheField>
    <cacheField name="Orders" numFmtId="0">
      <sharedItems containsSemiMixedTypes="0" containsString="0" containsNumber="1" containsInteger="1" minValue="90" maxValue="170"/>
    </cacheField>
  </cacheFields>
  <extLst>
    <ext xmlns:x14="http://schemas.microsoft.com/office/spreadsheetml/2009/9/main" uri="{725AE2AE-9491-48be-B2B4-4EB974FC3084}">
      <x14:pivotCacheDefinition pivotCacheId="8165141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x v="0"/>
    <x v="0"/>
    <n v="90000"/>
    <n v="12000"/>
    <n v="120"/>
  </r>
  <r>
    <x v="0"/>
    <x v="1"/>
    <x v="1"/>
    <n v="65000"/>
    <n v="9000"/>
    <n v="90"/>
  </r>
  <r>
    <x v="1"/>
    <x v="2"/>
    <x v="2"/>
    <n v="70000"/>
    <n v="9500"/>
    <n v="95"/>
  </r>
  <r>
    <x v="1"/>
    <x v="3"/>
    <x v="3"/>
    <n v="85000"/>
    <n v="11000"/>
    <n v="110"/>
  </r>
  <r>
    <x v="2"/>
    <x v="0"/>
    <x v="0"/>
    <n v="110000"/>
    <n v="15000"/>
    <n v="140"/>
  </r>
  <r>
    <x v="2"/>
    <x v="1"/>
    <x v="2"/>
    <n v="95000"/>
    <n v="13000"/>
    <n v="125"/>
  </r>
  <r>
    <x v="3"/>
    <x v="2"/>
    <x v="3"/>
    <n v="100000"/>
    <n v="14000"/>
    <n v="130"/>
  </r>
  <r>
    <x v="3"/>
    <x v="3"/>
    <x v="1"/>
    <n v="80000"/>
    <n v="10000"/>
    <n v="100"/>
  </r>
  <r>
    <x v="4"/>
    <x v="0"/>
    <x v="2"/>
    <n v="120000"/>
    <n v="17000"/>
    <n v="155"/>
  </r>
  <r>
    <x v="4"/>
    <x v="1"/>
    <x v="0"/>
    <n v="105000"/>
    <n v="14500"/>
    <n v="135"/>
  </r>
  <r>
    <x v="5"/>
    <x v="2"/>
    <x v="1"/>
    <n v="115000"/>
    <n v="16000"/>
    <n v="145"/>
  </r>
  <r>
    <x v="5"/>
    <x v="3"/>
    <x v="3"/>
    <n v="130000"/>
    <n v="18000"/>
    <n v="17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7E80E1-2EA6-45F5-9C71-B3BBB9B6F9C1}"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1:K8" firstHeaderRow="1" firstDataRow="1" firstDataCol="1"/>
  <pivotFields count="6">
    <pivotField axis="axisRow" showAll="0">
      <items count="7">
        <item x="0"/>
        <item x="1"/>
        <item x="2"/>
        <item x="3"/>
        <item x="4"/>
        <item x="5"/>
        <item t="default"/>
      </items>
    </pivotField>
    <pivotField showAll="0"/>
    <pivotField showAll="0">
      <items count="5">
        <item x="0"/>
        <item x="3"/>
        <item x="1"/>
        <item x="2"/>
        <item t="default"/>
      </items>
    </pivotField>
    <pivotField showAll="0"/>
    <pivotField showAll="0"/>
    <pivotField dataField="1" showAll="0"/>
  </pivotFields>
  <rowFields count="1">
    <field x="0"/>
  </rowFields>
  <rowItems count="7">
    <i>
      <x/>
    </i>
    <i>
      <x v="1"/>
    </i>
    <i>
      <x v="2"/>
    </i>
    <i>
      <x v="3"/>
    </i>
    <i>
      <x v="4"/>
    </i>
    <i>
      <x v="5"/>
    </i>
    <i t="grand">
      <x/>
    </i>
  </rowItems>
  <colItems count="1">
    <i/>
  </colItems>
  <dataFields count="1">
    <dataField name="Sum of Orders" fld="5" baseField="0" baseItem="0"/>
  </dataField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99C08D-15FF-45FF-9D2B-A0A0FB71FBC9}"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1:H6" firstHeaderRow="1" firstDataRow="1" firstDataCol="1"/>
  <pivotFields count="6">
    <pivotField showAll="0"/>
    <pivotField showAll="0"/>
    <pivotField axis="axisRow" showAll="0">
      <items count="5">
        <item x="0"/>
        <item x="3"/>
        <item x="1"/>
        <item x="2"/>
        <item t="default"/>
      </items>
    </pivotField>
    <pivotField showAll="0"/>
    <pivotField dataField="1" showAll="0"/>
    <pivotField showAll="0"/>
  </pivotFields>
  <rowFields count="1">
    <field x="2"/>
  </rowFields>
  <rowItems count="5">
    <i>
      <x/>
    </i>
    <i>
      <x v="1"/>
    </i>
    <i>
      <x v="2"/>
    </i>
    <i>
      <x v="3"/>
    </i>
    <i t="grand">
      <x/>
    </i>
  </rowItems>
  <colItems count="1">
    <i/>
  </colItems>
  <dataFields count="1">
    <dataField name="Sum of Profit" fld="4" baseField="0" baseItem="0"/>
  </dataFields>
  <chartFormats count="1">
    <chartFormat chart="8"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7A6BA6-8ED2-4734-B6F2-EC39517292E2}"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E6" firstHeaderRow="1" firstDataRow="1" firstDataCol="1"/>
  <pivotFields count="6">
    <pivotField showAll="0">
      <items count="7">
        <item x="0"/>
        <item x="1"/>
        <item x="2"/>
        <item x="3"/>
        <item x="4"/>
        <item x="5"/>
        <item t="default"/>
      </items>
    </pivotField>
    <pivotField axis="axisRow" showAll="0">
      <items count="5">
        <item x="2"/>
        <item x="0"/>
        <item x="1"/>
        <item x="3"/>
        <item t="default"/>
      </items>
    </pivotField>
    <pivotField showAll="0">
      <items count="5">
        <item x="0"/>
        <item x="3"/>
        <item x="1"/>
        <item x="2"/>
        <item t="default"/>
      </items>
    </pivotField>
    <pivotField dataField="1" showAll="0"/>
    <pivotField showAll="0"/>
    <pivotField showAll="0"/>
  </pivotFields>
  <rowFields count="1">
    <field x="1"/>
  </rowFields>
  <rowItems count="5">
    <i>
      <x/>
    </i>
    <i>
      <x v="1"/>
    </i>
    <i>
      <x v="2"/>
    </i>
    <i>
      <x v="3"/>
    </i>
    <i t="grand">
      <x/>
    </i>
  </rowItems>
  <colItems count="1">
    <i/>
  </colItems>
  <dataFields count="1">
    <dataField name="Sum of Sales" fld="3" baseField="0" baseItem="0"/>
  </dataFields>
  <chartFormats count="5">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 chart="2" format="4">
      <pivotArea type="data" outline="0" fieldPosition="0">
        <references count="2">
          <reference field="4294967294" count="1" selected="0">
            <x v="0"/>
          </reference>
          <reference field="1" count="1" selected="0">
            <x v="2"/>
          </reference>
        </references>
      </pivotArea>
    </chartFormat>
    <chartFormat chart="2" format="5">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874031-2C2B-4442-A107-FE46F4038145}"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8" firstHeaderRow="1" firstDataRow="1" firstDataCol="1"/>
  <pivotFields count="6">
    <pivotField axis="axisRow" showAll="0">
      <items count="7">
        <item x="0"/>
        <item x="1"/>
        <item x="2"/>
        <item x="3"/>
        <item x="4"/>
        <item x="5"/>
        <item t="default"/>
      </items>
    </pivotField>
    <pivotField showAll="0"/>
    <pivotField showAll="0">
      <items count="5">
        <item x="0"/>
        <item x="3"/>
        <item x="1"/>
        <item x="2"/>
        <item t="default"/>
      </items>
    </pivotField>
    <pivotField dataField="1" showAll="0"/>
    <pivotField showAll="0"/>
    <pivotField showAll="0"/>
  </pivotFields>
  <rowFields count="1">
    <field x="0"/>
  </rowFields>
  <rowItems count="7">
    <i>
      <x/>
    </i>
    <i>
      <x v="1"/>
    </i>
    <i>
      <x v="2"/>
    </i>
    <i>
      <x v="3"/>
    </i>
    <i>
      <x v="4"/>
    </i>
    <i>
      <x v="5"/>
    </i>
    <i t="grand">
      <x/>
    </i>
  </rowItems>
  <colItems count="1">
    <i/>
  </colItems>
  <dataFields count="1">
    <dataField name="Sum of Sales" fld="3"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63502A9-1040-4A59-991A-4F837685DBC8}" sourceName="Month">
  <pivotTables>
    <pivotTable tabId="3" name="PivotTable2"/>
  </pivotTables>
  <data>
    <tabular pivotCacheId="816514147">
      <items count="6">
        <i x="0" s="1"/>
        <i x="1" s="1"/>
        <i x="2"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5483DAE-6108-414E-B9CB-EEC725413EAD}" sourceName="Region">
  <pivotTables>
    <pivotTable tabId="3" name="PivotTable2"/>
  </pivotTables>
  <data>
    <tabular pivotCacheId="816514147">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AFC8E12-0262-43E4-A719-D2E943E8C30E}" sourceName="Category">
  <pivotTables>
    <pivotTable tabId="3" name="PivotTable2"/>
    <pivotTable tabId="3" name="PivotTable1"/>
    <pivotTable tabId="3" name="PivotTable3"/>
    <pivotTable tabId="3" name="PivotTable4"/>
  </pivotTables>
  <data>
    <tabular pivotCacheId="816514147">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7A53D1C7-BC12-4265-BBD2-F559C135F5AF}" cache="Slicer_Month" caption="Month" rowHeight="244336"/>
  <slicer name="Region" xr10:uid="{CC1D062E-22D3-4537-9C82-C0AD7E737A65}" cache="Slicer_Region" caption="Region" rowHeight="244336"/>
  <slicer name="Category" xr10:uid="{3B108707-1A54-4843-AA4E-3FC826CE1C02}" cache="Slicer_Category" caption="Category" rowHeight="24433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81C053A-265B-42BA-93F6-6FFF767083AF}" name="Table1" displayName="Table1" ref="A3:F15" totalsRowShown="0" headerRowDxfId="4" dataDxfId="5">
  <autoFilter ref="A3:F15" xr:uid="{381C053A-265B-42BA-93F6-6FFF767083AF}"/>
  <tableColumns count="6">
    <tableColumn id="1" xr3:uid="{544C78E3-D767-4C66-89F9-CB77245E1B21}" name="Month" dataDxfId="7"/>
    <tableColumn id="2" xr3:uid="{025D7EDC-F384-476E-BB53-6B9F0939E476}" name="Region" dataDxfId="6"/>
    <tableColumn id="3" xr3:uid="{2D511964-3739-4D77-B464-13343E2740BF}" name="Category" dataDxfId="3"/>
    <tableColumn id="4" xr3:uid="{182E4816-1690-484F-BC38-5467A6E844BB}" name="Sales" dataDxfId="2"/>
    <tableColumn id="5" xr3:uid="{A8B109B9-C555-4379-959E-1AB6F73BFB90}" name="Profit" dataDxfId="1"/>
    <tableColumn id="6" xr3:uid="{7CD21DA4-96B5-42CB-992D-425679DC998E}" name="Order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EF26B-01A2-4B47-AAAE-33250ED8FF06}">
  <dimension ref="A1:K15"/>
  <sheetViews>
    <sheetView workbookViewId="0">
      <selection sqref="A1:K1"/>
    </sheetView>
  </sheetViews>
  <sheetFormatPr defaultRowHeight="15.05" x14ac:dyDescent="0.3"/>
  <cols>
    <col min="1" max="1" width="11" bestFit="1" customWidth="1"/>
    <col min="2" max="2" width="12.88671875" customWidth="1"/>
    <col min="3" max="3" width="14" customWidth="1"/>
    <col min="4" max="4" width="9.44140625" bestFit="1" customWidth="1"/>
    <col min="5" max="5" width="14.21875" customWidth="1"/>
    <col min="6" max="6" width="16.109375" customWidth="1"/>
  </cols>
  <sheetData>
    <row r="1" spans="1:11" ht="23.8" x14ac:dyDescent="0.45">
      <c r="A1" s="4" t="s">
        <v>0</v>
      </c>
      <c r="B1" s="4"/>
      <c r="C1" s="4"/>
      <c r="D1" s="4"/>
      <c r="E1" s="4"/>
      <c r="F1" s="4"/>
      <c r="G1" s="4"/>
      <c r="H1" s="4"/>
      <c r="I1" s="4"/>
      <c r="J1" s="4"/>
      <c r="K1" s="4"/>
    </row>
    <row r="3" spans="1:11" x14ac:dyDescent="0.3">
      <c r="A3" s="2" t="s">
        <v>1</v>
      </c>
      <c r="B3" s="2" t="s">
        <v>2</v>
      </c>
      <c r="C3" s="2" t="s">
        <v>3</v>
      </c>
      <c r="D3" s="2" t="s">
        <v>4</v>
      </c>
      <c r="E3" s="2" t="s">
        <v>5</v>
      </c>
      <c r="F3" s="2" t="s">
        <v>6</v>
      </c>
    </row>
    <row r="4" spans="1:11" x14ac:dyDescent="0.3">
      <c r="A4" s="3" t="s">
        <v>7</v>
      </c>
      <c r="B4" s="3" t="s">
        <v>8</v>
      </c>
      <c r="C4" s="3" t="s">
        <v>9</v>
      </c>
      <c r="D4" s="1">
        <v>90000</v>
      </c>
      <c r="E4" s="1">
        <v>12000</v>
      </c>
      <c r="F4" s="1">
        <v>120</v>
      </c>
    </row>
    <row r="5" spans="1:11" x14ac:dyDescent="0.3">
      <c r="A5" s="3" t="s">
        <v>7</v>
      </c>
      <c r="B5" s="3" t="s">
        <v>10</v>
      </c>
      <c r="C5" s="3" t="s">
        <v>11</v>
      </c>
      <c r="D5" s="1">
        <v>65000</v>
      </c>
      <c r="E5" s="1">
        <v>9000</v>
      </c>
      <c r="F5" s="1">
        <v>90</v>
      </c>
    </row>
    <row r="6" spans="1:11" x14ac:dyDescent="0.3">
      <c r="A6" s="3" t="s">
        <v>12</v>
      </c>
      <c r="B6" s="3" t="s">
        <v>13</v>
      </c>
      <c r="C6" s="3" t="s">
        <v>14</v>
      </c>
      <c r="D6" s="1">
        <v>70000</v>
      </c>
      <c r="E6" s="1">
        <v>9500</v>
      </c>
      <c r="F6" s="1">
        <v>95</v>
      </c>
    </row>
    <row r="7" spans="1:11" x14ac:dyDescent="0.3">
      <c r="A7" s="3" t="s">
        <v>12</v>
      </c>
      <c r="B7" s="3" t="s">
        <v>15</v>
      </c>
      <c r="C7" s="3" t="s">
        <v>16</v>
      </c>
      <c r="D7" s="1">
        <v>85000</v>
      </c>
      <c r="E7" s="1">
        <v>11000</v>
      </c>
      <c r="F7" s="1">
        <v>110</v>
      </c>
    </row>
    <row r="8" spans="1:11" x14ac:dyDescent="0.3">
      <c r="A8" s="3" t="s">
        <v>17</v>
      </c>
      <c r="B8" s="3" t="s">
        <v>8</v>
      </c>
      <c r="C8" s="3" t="s">
        <v>9</v>
      </c>
      <c r="D8" s="1">
        <v>110000</v>
      </c>
      <c r="E8" s="1">
        <v>15000</v>
      </c>
      <c r="F8" s="1">
        <v>140</v>
      </c>
    </row>
    <row r="9" spans="1:11" x14ac:dyDescent="0.3">
      <c r="A9" s="3" t="s">
        <v>17</v>
      </c>
      <c r="B9" s="3" t="s">
        <v>10</v>
      </c>
      <c r="C9" s="3" t="s">
        <v>14</v>
      </c>
      <c r="D9" s="1">
        <v>95000</v>
      </c>
      <c r="E9" s="1">
        <v>13000</v>
      </c>
      <c r="F9" s="1">
        <v>125</v>
      </c>
    </row>
    <row r="10" spans="1:11" x14ac:dyDescent="0.3">
      <c r="A10" s="3" t="s">
        <v>18</v>
      </c>
      <c r="B10" s="3" t="s">
        <v>13</v>
      </c>
      <c r="C10" s="3" t="s">
        <v>16</v>
      </c>
      <c r="D10" s="1">
        <v>100000</v>
      </c>
      <c r="E10" s="1">
        <v>14000</v>
      </c>
      <c r="F10" s="1">
        <v>130</v>
      </c>
    </row>
    <row r="11" spans="1:11" x14ac:dyDescent="0.3">
      <c r="A11" s="3" t="s">
        <v>18</v>
      </c>
      <c r="B11" s="3" t="s">
        <v>15</v>
      </c>
      <c r="C11" s="3" t="s">
        <v>11</v>
      </c>
      <c r="D11" s="1">
        <v>80000</v>
      </c>
      <c r="E11" s="1">
        <v>10000</v>
      </c>
      <c r="F11" s="1">
        <v>100</v>
      </c>
    </row>
    <row r="12" spans="1:11" x14ac:dyDescent="0.3">
      <c r="A12" s="3" t="s">
        <v>19</v>
      </c>
      <c r="B12" s="3" t="s">
        <v>8</v>
      </c>
      <c r="C12" s="3" t="s">
        <v>14</v>
      </c>
      <c r="D12" s="1">
        <v>120000</v>
      </c>
      <c r="E12" s="1">
        <v>17000</v>
      </c>
      <c r="F12" s="1">
        <v>155</v>
      </c>
    </row>
    <row r="13" spans="1:11" x14ac:dyDescent="0.3">
      <c r="A13" s="3" t="s">
        <v>19</v>
      </c>
      <c r="B13" s="3" t="s">
        <v>10</v>
      </c>
      <c r="C13" s="3" t="s">
        <v>9</v>
      </c>
      <c r="D13" s="1">
        <v>105000</v>
      </c>
      <c r="E13" s="1">
        <v>14500</v>
      </c>
      <c r="F13" s="1">
        <v>135</v>
      </c>
    </row>
    <row r="14" spans="1:11" x14ac:dyDescent="0.3">
      <c r="A14" s="3" t="s">
        <v>20</v>
      </c>
      <c r="B14" s="3" t="s">
        <v>13</v>
      </c>
      <c r="C14" s="3" t="s">
        <v>11</v>
      </c>
      <c r="D14" s="1">
        <v>115000</v>
      </c>
      <c r="E14" s="1">
        <v>16000</v>
      </c>
      <c r="F14" s="1">
        <v>145</v>
      </c>
    </row>
    <row r="15" spans="1:11" x14ac:dyDescent="0.3">
      <c r="A15" s="3" t="s">
        <v>20</v>
      </c>
      <c r="B15" s="3" t="s">
        <v>15</v>
      </c>
      <c r="C15" s="3" t="s">
        <v>16</v>
      </c>
      <c r="D15" s="1">
        <v>130000</v>
      </c>
      <c r="E15" s="1">
        <v>18000</v>
      </c>
      <c r="F15" s="1">
        <v>170</v>
      </c>
    </row>
  </sheetData>
  <mergeCells count="1">
    <mergeCell ref="A1:K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9D8B6-9D32-4565-AFDF-52F0D484E5D4}">
  <dimension ref="A1:K8"/>
  <sheetViews>
    <sheetView workbookViewId="0">
      <selection activeCell="M18" sqref="M18"/>
    </sheetView>
  </sheetViews>
  <sheetFormatPr defaultRowHeight="15.05" x14ac:dyDescent="0.3"/>
  <cols>
    <col min="1" max="1" width="12.44140625" bestFit="1" customWidth="1"/>
    <col min="2" max="2" width="11.6640625" bestFit="1" customWidth="1"/>
    <col min="4" max="4" width="12.44140625" bestFit="1" customWidth="1"/>
    <col min="5" max="5" width="11.6640625" bestFit="1" customWidth="1"/>
    <col min="7" max="7" width="12.44140625" bestFit="1" customWidth="1"/>
    <col min="8" max="8" width="12.109375" bestFit="1" customWidth="1"/>
    <col min="10" max="10" width="12.44140625" bestFit="1" customWidth="1"/>
    <col min="11" max="11" width="13.109375" bestFit="1" customWidth="1"/>
  </cols>
  <sheetData>
    <row r="1" spans="1:11" x14ac:dyDescent="0.3">
      <c r="A1" s="5" t="s">
        <v>21</v>
      </c>
      <c r="B1" t="s">
        <v>23</v>
      </c>
      <c r="D1" s="5" t="s">
        <v>21</v>
      </c>
      <c r="E1" t="s">
        <v>23</v>
      </c>
      <c r="G1" s="5" t="s">
        <v>21</v>
      </c>
      <c r="H1" t="s">
        <v>24</v>
      </c>
      <c r="J1" s="5" t="s">
        <v>21</v>
      </c>
      <c r="K1" t="s">
        <v>25</v>
      </c>
    </row>
    <row r="2" spans="1:11" x14ac:dyDescent="0.3">
      <c r="A2" s="6" t="s">
        <v>7</v>
      </c>
      <c r="B2" s="7">
        <v>155000</v>
      </c>
      <c r="D2" s="6" t="s">
        <v>13</v>
      </c>
      <c r="E2" s="7">
        <v>285000</v>
      </c>
      <c r="G2" s="6" t="s">
        <v>9</v>
      </c>
      <c r="H2" s="7">
        <v>41500</v>
      </c>
      <c r="J2" s="6" t="s">
        <v>7</v>
      </c>
      <c r="K2" s="7">
        <v>210</v>
      </c>
    </row>
    <row r="3" spans="1:11" x14ac:dyDescent="0.3">
      <c r="A3" s="6" t="s">
        <v>12</v>
      </c>
      <c r="B3" s="7">
        <v>155000</v>
      </c>
      <c r="D3" s="6" t="s">
        <v>8</v>
      </c>
      <c r="E3" s="7">
        <v>320000</v>
      </c>
      <c r="G3" s="6" t="s">
        <v>16</v>
      </c>
      <c r="H3" s="7">
        <v>43000</v>
      </c>
      <c r="J3" s="6" t="s">
        <v>12</v>
      </c>
      <c r="K3" s="7">
        <v>205</v>
      </c>
    </row>
    <row r="4" spans="1:11" x14ac:dyDescent="0.3">
      <c r="A4" s="6" t="s">
        <v>17</v>
      </c>
      <c r="B4" s="7">
        <v>205000</v>
      </c>
      <c r="D4" s="6" t="s">
        <v>10</v>
      </c>
      <c r="E4" s="7">
        <v>265000</v>
      </c>
      <c r="G4" s="6" t="s">
        <v>11</v>
      </c>
      <c r="H4" s="7">
        <v>35000</v>
      </c>
      <c r="J4" s="6" t="s">
        <v>17</v>
      </c>
      <c r="K4" s="7">
        <v>265</v>
      </c>
    </row>
    <row r="5" spans="1:11" x14ac:dyDescent="0.3">
      <c r="A5" s="6" t="s">
        <v>18</v>
      </c>
      <c r="B5" s="7">
        <v>180000</v>
      </c>
      <c r="D5" s="6" t="s">
        <v>15</v>
      </c>
      <c r="E5" s="7">
        <v>295000</v>
      </c>
      <c r="G5" s="6" t="s">
        <v>14</v>
      </c>
      <c r="H5" s="7">
        <v>39500</v>
      </c>
      <c r="J5" s="6" t="s">
        <v>18</v>
      </c>
      <c r="K5" s="7">
        <v>230</v>
      </c>
    </row>
    <row r="6" spans="1:11" x14ac:dyDescent="0.3">
      <c r="A6" s="6" t="s">
        <v>19</v>
      </c>
      <c r="B6" s="7">
        <v>225000</v>
      </c>
      <c r="D6" s="6" t="s">
        <v>22</v>
      </c>
      <c r="E6" s="7">
        <v>1165000</v>
      </c>
      <c r="G6" s="6" t="s">
        <v>22</v>
      </c>
      <c r="H6" s="7">
        <v>159000</v>
      </c>
      <c r="J6" s="6" t="s">
        <v>19</v>
      </c>
      <c r="K6" s="7">
        <v>290</v>
      </c>
    </row>
    <row r="7" spans="1:11" x14ac:dyDescent="0.3">
      <c r="A7" s="6" t="s">
        <v>20</v>
      </c>
      <c r="B7" s="7">
        <v>245000</v>
      </c>
      <c r="J7" s="6" t="s">
        <v>20</v>
      </c>
      <c r="K7" s="7">
        <v>315</v>
      </c>
    </row>
    <row r="8" spans="1:11" x14ac:dyDescent="0.3">
      <c r="A8" s="6" t="s">
        <v>22</v>
      </c>
      <c r="B8" s="7">
        <v>1165000</v>
      </c>
      <c r="J8" s="6" t="s">
        <v>22</v>
      </c>
      <c r="K8" s="7">
        <v>1515</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28F23-9DEC-4D35-AD97-0077F4D407CB}">
  <dimension ref="A1:K6"/>
  <sheetViews>
    <sheetView showGridLines="0" showRowColHeaders="0" tabSelected="1" zoomScale="95" workbookViewId="0">
      <selection activeCell="L16" sqref="L16"/>
    </sheetView>
  </sheetViews>
  <sheetFormatPr defaultRowHeight="15.05" x14ac:dyDescent="0.3"/>
  <cols>
    <col min="1" max="1" width="19.109375" bestFit="1" customWidth="1"/>
    <col min="3" max="3" width="19.109375" bestFit="1" customWidth="1"/>
    <col min="5" max="5" width="21.88671875" bestFit="1" customWidth="1"/>
    <col min="7" max="7" width="24.33203125" bestFit="1" customWidth="1"/>
  </cols>
  <sheetData>
    <row r="1" spans="1:11" ht="23.8" x14ac:dyDescent="0.45">
      <c r="A1" s="4" t="s">
        <v>26</v>
      </c>
      <c r="B1" s="4"/>
      <c r="C1" s="4"/>
      <c r="D1" s="4"/>
      <c r="E1" s="4"/>
      <c r="F1" s="4"/>
      <c r="G1" s="4"/>
      <c r="H1" s="4"/>
      <c r="I1" s="4"/>
      <c r="J1" s="4"/>
      <c r="K1" s="4"/>
    </row>
    <row r="3" spans="1:11" ht="26.3" x14ac:dyDescent="0.5">
      <c r="A3" s="8" t="s">
        <v>27</v>
      </c>
      <c r="B3" s="8"/>
      <c r="C3" s="8"/>
      <c r="D3" s="8"/>
      <c r="E3" s="8"/>
      <c r="F3" s="8"/>
      <c r="G3" s="8"/>
      <c r="H3" s="8"/>
      <c r="I3" s="8"/>
      <c r="J3" s="8"/>
      <c r="K3" s="8"/>
    </row>
    <row r="5" spans="1:11" ht="28.2" x14ac:dyDescent="0.5">
      <c r="A5" s="10" t="s">
        <v>28</v>
      </c>
      <c r="C5" s="10" t="s">
        <v>29</v>
      </c>
      <c r="E5" s="10" t="s">
        <v>30</v>
      </c>
      <c r="G5" s="10" t="s">
        <v>31</v>
      </c>
    </row>
    <row r="6" spans="1:11" ht="23.8" x14ac:dyDescent="0.45">
      <c r="A6" s="9">
        <f>SUM(Table1[[#All],[Sales]])</f>
        <v>1165000</v>
      </c>
      <c r="C6" s="9">
        <f>SUM(Table1[Profit])</f>
        <v>159000</v>
      </c>
      <c r="E6" s="9">
        <f>SUM(Table1[Orders])</f>
        <v>1515</v>
      </c>
      <c r="G6" s="11">
        <f>AVERAGE(Table1[Sales])</f>
        <v>97083.333333333328</v>
      </c>
    </row>
  </sheetData>
  <mergeCells count="2">
    <mergeCell ref="A1:K1"/>
    <mergeCell ref="A3:K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Pivot</vt:lpstr>
      <vt:lpstr>Sales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Varunkumar V</dc:creator>
  <cp:lastModifiedBy>Varunkumar V</cp:lastModifiedBy>
  <dcterms:created xsi:type="dcterms:W3CDTF">2026-07-20T09:08:15Z</dcterms:created>
  <dcterms:modified xsi:type="dcterms:W3CDTF">2026-07-23T17:12:22Z</dcterms:modified>
</cp:coreProperties>
</file>