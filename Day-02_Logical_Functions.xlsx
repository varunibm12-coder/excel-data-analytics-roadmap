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308fcf3fd5fa84/Documents/DATA ANALYST JOURNEY/"/>
    </mc:Choice>
  </mc:AlternateContent>
  <xr:revisionPtr revIDLastSave="505" documentId="8_{2586EC56-40CB-4DCC-9478-61E5DCD7FB69}" xr6:coauthVersionLast="47" xr6:coauthVersionMax="47" xr10:uidLastSave="{6ED5B839-B5C8-425B-A276-3C9CC2BE1FA0}"/>
  <bookViews>
    <workbookView xWindow="-113" yWindow="-113" windowWidth="24267" windowHeight="13023" xr2:uid="{68D7B98B-3F79-4212-88FA-1475E2B2DB10}"/>
  </bookViews>
  <sheets>
    <sheet name="Logical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M3" i="1"/>
  <c r="P3" i="1" s="1"/>
  <c r="M2" i="1"/>
  <c r="P2" i="1" s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O10" i="1" l="1"/>
  <c r="O5" i="1"/>
  <c r="O2" i="1"/>
  <c r="O3" i="1"/>
  <c r="O4" i="1"/>
  <c r="O6" i="1"/>
  <c r="O9" i="1"/>
  <c r="O11" i="1"/>
  <c r="O12" i="1"/>
  <c r="O13" i="1"/>
  <c r="O14" i="1"/>
  <c r="O15" i="1"/>
  <c r="O16" i="1"/>
  <c r="O17" i="1"/>
  <c r="O18" i="1"/>
  <c r="O19" i="1"/>
  <c r="O20" i="1"/>
  <c r="O21" i="1"/>
  <c r="O7" i="1"/>
  <c r="O8" i="1"/>
</calcChain>
</file>

<file path=xl/sharedStrings.xml><?xml version="1.0" encoding="utf-8"?>
<sst xmlns="http://schemas.openxmlformats.org/spreadsheetml/2006/main" count="97" uniqueCount="66">
  <si>
    <t>S.no</t>
  </si>
  <si>
    <t>Name</t>
  </si>
  <si>
    <t>Reg.No</t>
  </si>
  <si>
    <t>Department</t>
  </si>
  <si>
    <t>Year</t>
  </si>
  <si>
    <t>Sub 1</t>
  </si>
  <si>
    <t>Sub 2</t>
  </si>
  <si>
    <t>Sub 3</t>
  </si>
  <si>
    <t>Sub 4</t>
  </si>
  <si>
    <t>Sub 5</t>
  </si>
  <si>
    <t>Total</t>
  </si>
  <si>
    <t>AVG</t>
  </si>
  <si>
    <t>%</t>
  </si>
  <si>
    <t>Rank</t>
  </si>
  <si>
    <t>Result</t>
  </si>
  <si>
    <t>Varun</t>
  </si>
  <si>
    <t>Rekish</t>
  </si>
  <si>
    <t>Ajay</t>
  </si>
  <si>
    <t>Sarath</t>
  </si>
  <si>
    <t>Apsal</t>
  </si>
  <si>
    <t>Seeman</t>
  </si>
  <si>
    <t>Dhanusha</t>
  </si>
  <si>
    <t>Srinath</t>
  </si>
  <si>
    <t>Satish</t>
  </si>
  <si>
    <t>Sham</t>
  </si>
  <si>
    <t>Rahul</t>
  </si>
  <si>
    <t>Surendhar</t>
  </si>
  <si>
    <t>Vijay</t>
  </si>
  <si>
    <t>Ajith</t>
  </si>
  <si>
    <t>Red</t>
  </si>
  <si>
    <t>Paari</t>
  </si>
  <si>
    <t>Jeya</t>
  </si>
  <si>
    <t>Anushka</t>
  </si>
  <si>
    <t>I</t>
  </si>
  <si>
    <t>II</t>
  </si>
  <si>
    <t>IV</t>
  </si>
  <si>
    <t>III</t>
  </si>
  <si>
    <t>Grade</t>
  </si>
  <si>
    <t>INFORMATION TECHNOLOGY</t>
  </si>
  <si>
    <t>COMPUTER SCIENCE ENGINEERING</t>
  </si>
  <si>
    <t>ELECTRONICS AND COMMUNICATIONS ENGINEERING</t>
  </si>
  <si>
    <t>MECHANICAL ENGINEERING</t>
  </si>
  <si>
    <t>ELECTRONICS AND ELECTRONICAL ENGINEERING</t>
  </si>
  <si>
    <t>varun@gmail.com</t>
  </si>
  <si>
    <t>rekish@gmail.com</t>
  </si>
  <si>
    <t>seeman@gmail.com</t>
  </si>
  <si>
    <t>ninformation technologyhya@gmail.com</t>
  </si>
  <si>
    <t>dhanusha@gmail.com</t>
  </si>
  <si>
    <t>EMAIL</t>
  </si>
  <si>
    <t>ajay@gmail.com</t>
  </si>
  <si>
    <t>sarath@gmail.com</t>
  </si>
  <si>
    <t>apsal@gmail.com</t>
  </si>
  <si>
    <t>sarinformation technologyhan@gmail.com</t>
  </si>
  <si>
    <t>srinath@gmail.com</t>
  </si>
  <si>
    <t>satish@gmail.com</t>
  </si>
  <si>
    <t>sham@gmail.com</t>
  </si>
  <si>
    <t>rahul@gmail.com</t>
  </si>
  <si>
    <t>surendhar@gmail.com</t>
  </si>
  <si>
    <t>vijay@gmail.com</t>
  </si>
  <si>
    <t>ajith@gmail.com</t>
  </si>
  <si>
    <t>red@gmail.com</t>
  </si>
  <si>
    <t>paari@gmail.com</t>
  </si>
  <si>
    <t>jeya@gmail.com</t>
  </si>
  <si>
    <t>anushka@gmail.com</t>
  </si>
  <si>
    <t>Sarithan</t>
  </si>
  <si>
    <t>Nithya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</si>
</sst>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A3E4F3-F2F2-481D-8B54-5F287CCECC09}" name="Table1" displayName="Table1" ref="A1:Q21" totalsRowShown="0" headerRowDxfId="19">
  <autoFilter ref="A1:Q21" xr:uid="{A9A3E4F3-F2F2-481D-8B54-5F287CCECC09}"/>
  <tableColumns count="17">
    <tableColumn id="1" xr3:uid="{884C8370-6E49-4D8D-9330-E40D38887F2C}" name="S.no" dataDxfId="18"/>
    <tableColumn id="2" xr3:uid="{8CAD59F2-A8C3-4CFB-804B-A27674BB060D}" name="Name" dataDxfId="17"/>
    <tableColumn id="3" xr3:uid="{BC6027A1-C1B2-4684-9341-D962B3864C51}" name="Reg.No" dataDxfId="16"/>
    <tableColumn id="4" xr3:uid="{AED03110-B804-425F-BB25-81949773C937}" name="Department" dataDxfId="15"/>
    <tableColumn id="5" xr3:uid="{068AED43-7A50-4C45-B0DB-46ABFD12E768}" name="Year" dataDxfId="14"/>
    <tableColumn id="6" xr3:uid="{E919CAB8-D95E-4A3A-B852-C8A4F1B562A8}" name="Sub 1" dataDxfId="13"/>
    <tableColumn id="7" xr3:uid="{1AF78AEA-0FF4-4347-B302-34F6234EA6ED}" name="Sub 2" dataDxfId="12"/>
    <tableColumn id="8" xr3:uid="{72293BC5-B3C6-4E1A-904C-56F9B1B50BA3}" name="Sub 3" dataDxfId="11"/>
    <tableColumn id="9" xr3:uid="{C3C29754-074E-46B5-BE79-9BA10800A674}" name="Sub 4" dataDxfId="10"/>
    <tableColumn id="10" xr3:uid="{68C4A9FF-EE94-4A32-BC07-FBC58AFD8532}" name="Sub 5" dataDxfId="9"/>
    <tableColumn id="11" xr3:uid="{288E1CE1-259D-4A66-9DA4-3A0CB2BD7E54}" name="Total" dataDxfId="8"/>
    <tableColumn id="12" xr3:uid="{14741C1B-0199-4F48-A263-5B512A82C8A7}" name="AVG" dataDxfId="7"/>
    <tableColumn id="13" xr3:uid="{25A4C45A-C2B8-4187-B2CA-B21A7EAA7679}" name="%" dataDxfId="6"/>
    <tableColumn id="14" xr3:uid="{6B487344-C0AA-4346-AD31-0A957E5FFF37}" name="Grade" dataDxfId="5"/>
    <tableColumn id="15" xr3:uid="{2F74AD7C-9435-43F9-8E63-A83F3AD30D00}" name="Rank" dataDxfId="4"/>
    <tableColumn id="16" xr3:uid="{79242CB3-0ABF-4F26-A937-3C67369D81DF}" name="Result" dataDxfId="3">
      <calculatedColumnFormula>IF(M2&gt;=40,"Pass","Fail")</calculatedColumnFormula>
    </tableColumn>
    <tableColumn id="18" xr3:uid="{42786049-4F65-41E1-BF32-4F58BE764C0C}" name="EMAI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inath@gmail.com" TargetMode="External"/><Relationship Id="rId13" Type="http://schemas.openxmlformats.org/officeDocument/2006/relationships/hyperlink" Target="mailto:vijay@gmail.com" TargetMode="External"/><Relationship Id="rId18" Type="http://schemas.openxmlformats.org/officeDocument/2006/relationships/hyperlink" Target="mailto:anushka@gmail.com" TargetMode="External"/><Relationship Id="rId3" Type="http://schemas.openxmlformats.org/officeDocument/2006/relationships/hyperlink" Target="mailto:ajay@gmail.com" TargetMode="External"/><Relationship Id="rId7" Type="http://schemas.openxmlformats.org/officeDocument/2006/relationships/hyperlink" Target="mailto:dhanusha@gmail.com" TargetMode="External"/><Relationship Id="rId12" Type="http://schemas.openxmlformats.org/officeDocument/2006/relationships/hyperlink" Target="mailto:surendhar@gmail.com" TargetMode="External"/><Relationship Id="rId17" Type="http://schemas.openxmlformats.org/officeDocument/2006/relationships/hyperlink" Target="mailto:jeya@gmail.com" TargetMode="External"/><Relationship Id="rId2" Type="http://schemas.openxmlformats.org/officeDocument/2006/relationships/hyperlink" Target="mailto:rekish@gmail.com" TargetMode="External"/><Relationship Id="rId16" Type="http://schemas.openxmlformats.org/officeDocument/2006/relationships/hyperlink" Target="mailto:paari@gmail.com" TargetMode="External"/><Relationship Id="rId1" Type="http://schemas.openxmlformats.org/officeDocument/2006/relationships/hyperlink" Target="mailto:varun@gmail.com" TargetMode="External"/><Relationship Id="rId6" Type="http://schemas.openxmlformats.org/officeDocument/2006/relationships/hyperlink" Target="mailto:seeman@gmail.com" TargetMode="External"/><Relationship Id="rId11" Type="http://schemas.openxmlformats.org/officeDocument/2006/relationships/hyperlink" Target="mailto:rahul@gmail.com" TargetMode="External"/><Relationship Id="rId5" Type="http://schemas.openxmlformats.org/officeDocument/2006/relationships/hyperlink" Target="mailto:apsal@gmail.com" TargetMode="External"/><Relationship Id="rId15" Type="http://schemas.openxmlformats.org/officeDocument/2006/relationships/hyperlink" Target="mailto:red@gmail.com" TargetMode="External"/><Relationship Id="rId10" Type="http://schemas.openxmlformats.org/officeDocument/2006/relationships/hyperlink" Target="mailto:sham@gmail.com" TargetMode="External"/><Relationship Id="rId19" Type="http://schemas.openxmlformats.org/officeDocument/2006/relationships/table" Target="../tables/table1.xml"/><Relationship Id="rId4" Type="http://schemas.openxmlformats.org/officeDocument/2006/relationships/hyperlink" Target="mailto:sarath@gmail.com" TargetMode="External"/><Relationship Id="rId9" Type="http://schemas.openxmlformats.org/officeDocument/2006/relationships/hyperlink" Target="mailto:satish@gmail.com" TargetMode="External"/><Relationship Id="rId14" Type="http://schemas.openxmlformats.org/officeDocument/2006/relationships/hyperlink" Target="mailto:aj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183B-E8AF-4B2A-A9A7-60CBA56FD605}">
  <dimension ref="A1:R22"/>
  <sheetViews>
    <sheetView tabSelected="1" topLeftCell="E1" workbookViewId="0">
      <selection activeCell="L8" sqref="L8"/>
    </sheetView>
  </sheetViews>
  <sheetFormatPr defaultRowHeight="15.05" x14ac:dyDescent="0.3"/>
  <cols>
    <col min="4" max="4" width="46.33203125" bestFit="1" customWidth="1"/>
    <col min="17" max="17" width="36.44140625" bestFit="1" customWidth="1"/>
  </cols>
  <sheetData>
    <row r="1" spans="1:18" x14ac:dyDescent="0.3">
      <c r="A1" s="2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37</v>
      </c>
      <c r="O1" s="1" t="s">
        <v>13</v>
      </c>
      <c r="P1" s="1" t="s">
        <v>14</v>
      </c>
      <c r="Q1" s="1" t="s">
        <v>48</v>
      </c>
    </row>
    <row r="2" spans="1:18" x14ac:dyDescent="0.3">
      <c r="A2" s="3">
        <v>1</v>
      </c>
      <c r="B2" s="3" t="s">
        <v>15</v>
      </c>
      <c r="C2" s="3">
        <v>25</v>
      </c>
      <c r="D2" s="3" t="s">
        <v>39</v>
      </c>
      <c r="E2" s="3" t="s">
        <v>35</v>
      </c>
      <c r="F2" s="3">
        <v>100</v>
      </c>
      <c r="G2" s="3">
        <v>95</v>
      </c>
      <c r="H2" s="3">
        <v>98</v>
      </c>
      <c r="I2" s="3">
        <v>97</v>
      </c>
      <c r="J2" s="3">
        <v>100</v>
      </c>
      <c r="K2" s="3">
        <f t="shared" ref="K2:K21" si="0">SUM(F2:J2)</f>
        <v>490</v>
      </c>
      <c r="L2" s="3">
        <f t="shared" ref="L2:L21" si="1">AVERAGE(F2:J2)</f>
        <v>98</v>
      </c>
      <c r="M2" s="3">
        <f>(490/500)*100</f>
        <v>98</v>
      </c>
      <c r="N2" s="3" t="str">
        <f>IF(M2&gt;=90,"A+",IF(M2&gt;=80,"A",IF(M2&gt;=70,"B+",IF(M2&gt;=50,"B",IF(M2&gt;=40,"C",IF(M2&lt;40,"F"))))))</f>
        <v>A+</v>
      </c>
      <c r="O2" s="3">
        <f t="shared" ref="O2:O21" si="2">RANK(K2,$K$2:$K$21,0)</f>
        <v>1</v>
      </c>
      <c r="P2" s="3" t="str">
        <f t="shared" ref="P2:P21" si="3">IF(M2&gt;=40,"Pass","Fail")</f>
        <v>Pass</v>
      </c>
      <c r="Q2" s="4" t="s">
        <v>43</v>
      </c>
    </row>
    <row r="3" spans="1:18" x14ac:dyDescent="0.3">
      <c r="A3" s="3">
        <v>2</v>
      </c>
      <c r="B3" s="3" t="s">
        <v>16</v>
      </c>
      <c r="C3" s="3">
        <v>19</v>
      </c>
      <c r="D3" s="3" t="s">
        <v>39</v>
      </c>
      <c r="E3" s="3" t="s">
        <v>36</v>
      </c>
      <c r="F3" s="3">
        <v>96</v>
      </c>
      <c r="G3" s="3">
        <v>98</v>
      </c>
      <c r="H3" s="3">
        <v>79</v>
      </c>
      <c r="I3" s="3">
        <v>79</v>
      </c>
      <c r="J3" s="3">
        <v>100</v>
      </c>
      <c r="K3" s="3">
        <f t="shared" si="0"/>
        <v>452</v>
      </c>
      <c r="L3" s="3">
        <f t="shared" si="1"/>
        <v>90.4</v>
      </c>
      <c r="M3" s="3">
        <f>(452/500)*100</f>
        <v>90.4</v>
      </c>
      <c r="N3" s="3" t="str">
        <f>IF(M3&gt;=90,"A+",IF(M3&gt;=80,"A",IF(M3&gt;=70,"B+",IF(M3&gt;=50,"B",IF(M3&gt;=40,"C",IF(M3&lt;40,"F"))))))</f>
        <v>A+</v>
      </c>
      <c r="O3" s="3">
        <f t="shared" si="2"/>
        <v>6</v>
      </c>
      <c r="P3" s="3" t="str">
        <f t="shared" si="3"/>
        <v>Pass</v>
      </c>
      <c r="Q3" s="4" t="s">
        <v>44</v>
      </c>
    </row>
    <row r="4" spans="1:18" x14ac:dyDescent="0.3">
      <c r="A4" s="3">
        <v>3</v>
      </c>
      <c r="B4" s="3" t="s">
        <v>17</v>
      </c>
      <c r="C4" s="3">
        <v>1</v>
      </c>
      <c r="D4" s="3" t="s">
        <v>40</v>
      </c>
      <c r="E4" s="3" t="s">
        <v>35</v>
      </c>
      <c r="F4" s="3">
        <v>100</v>
      </c>
      <c r="G4" s="3">
        <v>84</v>
      </c>
      <c r="H4" s="3">
        <v>82</v>
      </c>
      <c r="I4" s="3">
        <v>94</v>
      </c>
      <c r="J4" s="3">
        <v>100</v>
      </c>
      <c r="K4" s="3">
        <f t="shared" si="0"/>
        <v>460</v>
      </c>
      <c r="L4" s="3">
        <f t="shared" si="1"/>
        <v>92</v>
      </c>
      <c r="M4" s="3">
        <v>92</v>
      </c>
      <c r="N4" s="3" t="str">
        <f t="shared" ref="N4:N21" si="4">IF(M4&gt;=90,"A+",IF(M4&gt;=80,"A",IF(M4&gt;=70,"B+",IF(M4&gt;=50,"B",IF(M4&gt;=40,"C",IF(M4&lt;40,"F"))))))</f>
        <v>A+</v>
      </c>
      <c r="O4" s="3">
        <f t="shared" si="2"/>
        <v>5</v>
      </c>
      <c r="P4" s="3" t="str">
        <f t="shared" si="3"/>
        <v>Pass</v>
      </c>
      <c r="Q4" s="4" t="s">
        <v>49</v>
      </c>
    </row>
    <row r="5" spans="1:18" x14ac:dyDescent="0.3">
      <c r="A5" s="3">
        <v>4</v>
      </c>
      <c r="B5" s="3" t="s">
        <v>18</v>
      </c>
      <c r="C5" s="3">
        <v>22</v>
      </c>
      <c r="D5" s="3" t="s">
        <v>40</v>
      </c>
      <c r="E5" s="3" t="s">
        <v>35</v>
      </c>
      <c r="F5" s="3">
        <v>98</v>
      </c>
      <c r="G5" s="3">
        <v>85</v>
      </c>
      <c r="H5" s="3">
        <v>98</v>
      </c>
      <c r="I5" s="3">
        <v>96</v>
      </c>
      <c r="J5" s="3">
        <v>100</v>
      </c>
      <c r="K5" s="3">
        <f t="shared" si="0"/>
        <v>477</v>
      </c>
      <c r="L5" s="3">
        <f t="shared" si="1"/>
        <v>95.4</v>
      </c>
      <c r="M5" s="3">
        <v>95.4</v>
      </c>
      <c r="N5" s="3" t="str">
        <f t="shared" si="4"/>
        <v>A+</v>
      </c>
      <c r="O5" s="3">
        <f t="shared" si="2"/>
        <v>3</v>
      </c>
      <c r="P5" s="3" t="str">
        <f t="shared" si="3"/>
        <v>Pass</v>
      </c>
      <c r="Q5" s="4" t="s">
        <v>50</v>
      </c>
    </row>
    <row r="6" spans="1:18" x14ac:dyDescent="0.3">
      <c r="A6" s="3">
        <v>5</v>
      </c>
      <c r="B6" s="3" t="s">
        <v>19</v>
      </c>
      <c r="C6" s="3">
        <v>3</v>
      </c>
      <c r="D6" s="3" t="s">
        <v>38</v>
      </c>
      <c r="E6" s="3" t="s">
        <v>36</v>
      </c>
      <c r="F6" s="3">
        <v>100</v>
      </c>
      <c r="G6" s="3">
        <v>49</v>
      </c>
      <c r="H6" s="3">
        <v>83</v>
      </c>
      <c r="I6" s="3">
        <v>98</v>
      </c>
      <c r="J6" s="3">
        <v>100</v>
      </c>
      <c r="K6" s="3">
        <f t="shared" si="0"/>
        <v>430</v>
      </c>
      <c r="L6" s="3">
        <f t="shared" si="1"/>
        <v>86</v>
      </c>
      <c r="M6" s="3">
        <v>86</v>
      </c>
      <c r="N6" s="3" t="str">
        <f t="shared" si="4"/>
        <v>A</v>
      </c>
      <c r="O6" s="3">
        <f t="shared" si="2"/>
        <v>10</v>
      </c>
      <c r="P6" s="3" t="str">
        <f t="shared" si="3"/>
        <v>Pass</v>
      </c>
      <c r="Q6" s="4" t="s">
        <v>51</v>
      </c>
    </row>
    <row r="7" spans="1:18" x14ac:dyDescent="0.3">
      <c r="A7" s="3">
        <v>6</v>
      </c>
      <c r="B7" s="3" t="s">
        <v>20</v>
      </c>
      <c r="C7" s="3">
        <v>24</v>
      </c>
      <c r="D7" s="3" t="s">
        <v>39</v>
      </c>
      <c r="E7" s="3" t="s">
        <v>35</v>
      </c>
      <c r="F7" s="3">
        <v>95</v>
      </c>
      <c r="G7" s="3">
        <v>28</v>
      </c>
      <c r="H7" s="3">
        <v>56</v>
      </c>
      <c r="I7" s="3">
        <v>95</v>
      </c>
      <c r="J7" s="3">
        <v>100</v>
      </c>
      <c r="K7" s="3">
        <f t="shared" si="0"/>
        <v>374</v>
      </c>
      <c r="L7" s="3">
        <f t="shared" si="1"/>
        <v>74.8</v>
      </c>
      <c r="M7" s="3">
        <v>74.8</v>
      </c>
      <c r="N7" s="3" t="str">
        <f t="shared" si="4"/>
        <v>B+</v>
      </c>
      <c r="O7" s="3">
        <f t="shared" si="2"/>
        <v>15</v>
      </c>
      <c r="P7" s="3" t="str">
        <f t="shared" si="3"/>
        <v>Pass</v>
      </c>
      <c r="Q7" s="4" t="s">
        <v>45</v>
      </c>
    </row>
    <row r="8" spans="1:18" x14ac:dyDescent="0.3">
      <c r="A8" s="3">
        <v>7</v>
      </c>
      <c r="B8" s="3" t="s">
        <v>64</v>
      </c>
      <c r="C8" s="3">
        <v>23</v>
      </c>
      <c r="D8" s="3" t="s">
        <v>38</v>
      </c>
      <c r="E8" s="3" t="s">
        <v>35</v>
      </c>
      <c r="F8" s="3">
        <v>86</v>
      </c>
      <c r="G8" s="3">
        <v>74</v>
      </c>
      <c r="H8" s="3">
        <v>74</v>
      </c>
      <c r="I8" s="3">
        <v>97</v>
      </c>
      <c r="J8" s="3">
        <v>98</v>
      </c>
      <c r="K8" s="3">
        <f t="shared" si="0"/>
        <v>429</v>
      </c>
      <c r="L8" s="3">
        <f t="shared" si="1"/>
        <v>85.8</v>
      </c>
      <c r="M8" s="3">
        <v>85.8</v>
      </c>
      <c r="N8" s="3" t="str">
        <f t="shared" si="4"/>
        <v>A</v>
      </c>
      <c r="O8" s="3">
        <f t="shared" si="2"/>
        <v>11</v>
      </c>
      <c r="P8" s="3" t="str">
        <f t="shared" si="3"/>
        <v>Pass</v>
      </c>
      <c r="Q8" s="4" t="s">
        <v>52</v>
      </c>
    </row>
    <row r="9" spans="1:18" x14ac:dyDescent="0.3">
      <c r="A9" s="3">
        <v>8</v>
      </c>
      <c r="B9" s="3" t="s">
        <v>65</v>
      </c>
      <c r="C9" s="3">
        <v>8</v>
      </c>
      <c r="D9" s="3" t="s">
        <v>39</v>
      </c>
      <c r="E9" s="3" t="s">
        <v>35</v>
      </c>
      <c r="F9" s="3">
        <v>94</v>
      </c>
      <c r="G9" s="3">
        <v>89</v>
      </c>
      <c r="H9" s="3">
        <v>98</v>
      </c>
      <c r="I9" s="3">
        <v>98</v>
      </c>
      <c r="J9" s="3">
        <v>100</v>
      </c>
      <c r="K9" s="3">
        <f t="shared" si="0"/>
        <v>479</v>
      </c>
      <c r="L9" s="3">
        <f t="shared" si="1"/>
        <v>95.8</v>
      </c>
      <c r="M9" s="3">
        <v>95.8</v>
      </c>
      <c r="N9" s="3" t="str">
        <f t="shared" si="4"/>
        <v>A+</v>
      </c>
      <c r="O9" s="3">
        <f t="shared" si="2"/>
        <v>2</v>
      </c>
      <c r="P9" s="3" t="str">
        <f t="shared" si="3"/>
        <v>Pass</v>
      </c>
      <c r="Q9" s="4" t="s">
        <v>46</v>
      </c>
    </row>
    <row r="10" spans="1:18" x14ac:dyDescent="0.3">
      <c r="A10" s="3">
        <v>9</v>
      </c>
      <c r="B10" s="3" t="s">
        <v>21</v>
      </c>
      <c r="C10" s="3">
        <v>5</v>
      </c>
      <c r="D10" s="3" t="s">
        <v>39</v>
      </c>
      <c r="E10" s="3" t="s">
        <v>35</v>
      </c>
      <c r="F10" s="3">
        <v>84</v>
      </c>
      <c r="G10" s="3">
        <v>31</v>
      </c>
      <c r="H10" s="3">
        <v>74</v>
      </c>
      <c r="I10" s="3">
        <v>100</v>
      </c>
      <c r="J10" s="3">
        <v>79</v>
      </c>
      <c r="K10" s="3">
        <f t="shared" si="0"/>
        <v>368</v>
      </c>
      <c r="L10" s="3">
        <f t="shared" si="1"/>
        <v>73.599999999999994</v>
      </c>
      <c r="M10" s="3">
        <v>73.599999999999994</v>
      </c>
      <c r="N10" s="3" t="str">
        <f t="shared" si="4"/>
        <v>B+</v>
      </c>
      <c r="O10" s="3">
        <f t="shared" si="2"/>
        <v>16</v>
      </c>
      <c r="P10" s="3" t="str">
        <f t="shared" si="3"/>
        <v>Pass</v>
      </c>
      <c r="Q10" s="4" t="s">
        <v>47</v>
      </c>
    </row>
    <row r="11" spans="1:18" x14ac:dyDescent="0.3">
      <c r="A11" s="3">
        <v>10</v>
      </c>
      <c r="B11" s="3" t="s">
        <v>22</v>
      </c>
      <c r="C11" s="3">
        <v>45</v>
      </c>
      <c r="D11" s="3" t="s">
        <v>41</v>
      </c>
      <c r="E11" s="3" t="s">
        <v>34</v>
      </c>
      <c r="F11" s="3">
        <v>13</v>
      </c>
      <c r="G11" s="3">
        <v>23</v>
      </c>
      <c r="H11" s="3">
        <v>21</v>
      </c>
      <c r="I11" s="3">
        <v>32</v>
      </c>
      <c r="J11" s="3">
        <v>78</v>
      </c>
      <c r="K11" s="3">
        <f t="shared" si="0"/>
        <v>167</v>
      </c>
      <c r="L11" s="3">
        <f t="shared" si="1"/>
        <v>33.4</v>
      </c>
      <c r="M11" s="3">
        <v>33.4</v>
      </c>
      <c r="N11" s="3" t="str">
        <f t="shared" si="4"/>
        <v>F</v>
      </c>
      <c r="O11" s="3">
        <f t="shared" si="2"/>
        <v>20</v>
      </c>
      <c r="P11" s="3" t="str">
        <f t="shared" si="3"/>
        <v>Fail</v>
      </c>
      <c r="Q11" s="4" t="s">
        <v>53</v>
      </c>
    </row>
    <row r="12" spans="1:18" x14ac:dyDescent="0.3">
      <c r="A12" s="3">
        <v>11</v>
      </c>
      <c r="B12" s="3" t="s">
        <v>23</v>
      </c>
      <c r="C12" s="3">
        <v>46</v>
      </c>
      <c r="D12" s="3" t="s">
        <v>41</v>
      </c>
      <c r="E12" s="3" t="s">
        <v>35</v>
      </c>
      <c r="F12" s="3">
        <v>24</v>
      </c>
      <c r="G12" s="3">
        <v>74</v>
      </c>
      <c r="H12" s="3">
        <v>89</v>
      </c>
      <c r="I12" s="3">
        <v>54</v>
      </c>
      <c r="J12" s="3">
        <v>100</v>
      </c>
      <c r="K12" s="3">
        <f t="shared" si="0"/>
        <v>341</v>
      </c>
      <c r="L12" s="3">
        <f t="shared" si="1"/>
        <v>68.2</v>
      </c>
      <c r="M12" s="3">
        <v>68.2</v>
      </c>
      <c r="N12" s="3" t="str">
        <f t="shared" si="4"/>
        <v>B</v>
      </c>
      <c r="O12" s="3">
        <f t="shared" si="2"/>
        <v>17</v>
      </c>
      <c r="P12" s="3" t="str">
        <f t="shared" si="3"/>
        <v>Pass</v>
      </c>
      <c r="Q12" s="4" t="s">
        <v>54</v>
      </c>
    </row>
    <row r="13" spans="1:18" x14ac:dyDescent="0.3">
      <c r="A13" s="3">
        <v>12</v>
      </c>
      <c r="B13" s="3" t="s">
        <v>24</v>
      </c>
      <c r="C13" s="3">
        <v>67</v>
      </c>
      <c r="D13" s="3" t="s">
        <v>38</v>
      </c>
      <c r="E13" s="3" t="s">
        <v>34</v>
      </c>
      <c r="F13" s="3">
        <v>98</v>
      </c>
      <c r="G13" s="3">
        <v>74</v>
      </c>
      <c r="H13" s="3">
        <v>72</v>
      </c>
      <c r="I13" s="3">
        <v>87</v>
      </c>
      <c r="J13" s="3">
        <v>100</v>
      </c>
      <c r="K13" s="3">
        <f t="shared" si="0"/>
        <v>431</v>
      </c>
      <c r="L13" s="3">
        <f t="shared" si="1"/>
        <v>86.2</v>
      </c>
      <c r="M13" s="3">
        <v>86.2</v>
      </c>
      <c r="N13" s="3" t="str">
        <f t="shared" si="4"/>
        <v>A</v>
      </c>
      <c r="O13" s="3">
        <f t="shared" si="2"/>
        <v>9</v>
      </c>
      <c r="P13" s="3" t="str">
        <f t="shared" si="3"/>
        <v>Pass</v>
      </c>
      <c r="Q13" s="4" t="s">
        <v>55</v>
      </c>
    </row>
    <row r="14" spans="1:18" x14ac:dyDescent="0.3">
      <c r="A14" s="3">
        <v>13</v>
      </c>
      <c r="B14" s="3" t="s">
        <v>25</v>
      </c>
      <c r="C14" s="3">
        <v>10</v>
      </c>
      <c r="D14" s="3" t="s">
        <v>38</v>
      </c>
      <c r="E14" s="3" t="s">
        <v>33</v>
      </c>
      <c r="F14" s="3">
        <v>92</v>
      </c>
      <c r="G14" s="3">
        <v>65</v>
      </c>
      <c r="H14" s="3">
        <v>96</v>
      </c>
      <c r="I14" s="3">
        <v>98</v>
      </c>
      <c r="J14" s="3">
        <v>98</v>
      </c>
      <c r="K14" s="3">
        <f t="shared" si="0"/>
        <v>449</v>
      </c>
      <c r="L14" s="3">
        <f t="shared" si="1"/>
        <v>89.8</v>
      </c>
      <c r="M14" s="3">
        <v>89.8</v>
      </c>
      <c r="N14" s="3" t="str">
        <f t="shared" si="4"/>
        <v>A</v>
      </c>
      <c r="O14" s="3">
        <f t="shared" si="2"/>
        <v>7</v>
      </c>
      <c r="P14" s="3" t="str">
        <f t="shared" si="3"/>
        <v>Pass</v>
      </c>
      <c r="Q14" s="4" t="s">
        <v>56</v>
      </c>
      <c r="R14" s="3"/>
    </row>
    <row r="15" spans="1:18" x14ac:dyDescent="0.3">
      <c r="A15" s="3">
        <v>14</v>
      </c>
      <c r="B15" s="3" t="s">
        <v>26</v>
      </c>
      <c r="C15" s="3">
        <v>61</v>
      </c>
      <c r="D15" s="3" t="s">
        <v>38</v>
      </c>
      <c r="E15" s="3" t="s">
        <v>36</v>
      </c>
      <c r="F15" s="3">
        <v>35</v>
      </c>
      <c r="G15" s="3">
        <v>47</v>
      </c>
      <c r="H15" s="3">
        <v>72</v>
      </c>
      <c r="I15" s="3">
        <v>75</v>
      </c>
      <c r="J15" s="3">
        <v>74</v>
      </c>
      <c r="K15" s="3">
        <f t="shared" si="0"/>
        <v>303</v>
      </c>
      <c r="L15" s="3">
        <f t="shared" si="1"/>
        <v>60.6</v>
      </c>
      <c r="M15" s="3">
        <v>60.6</v>
      </c>
      <c r="N15" s="3" t="str">
        <f t="shared" si="4"/>
        <v>B</v>
      </c>
      <c r="O15" s="3">
        <f t="shared" si="2"/>
        <v>19</v>
      </c>
      <c r="P15" s="3" t="str">
        <f t="shared" si="3"/>
        <v>Pass</v>
      </c>
      <c r="Q15" s="4" t="s">
        <v>57</v>
      </c>
    </row>
    <row r="16" spans="1:18" x14ac:dyDescent="0.3">
      <c r="A16" s="3">
        <v>15</v>
      </c>
      <c r="B16" s="3" t="s">
        <v>27</v>
      </c>
      <c r="C16" s="3">
        <v>89</v>
      </c>
      <c r="D16" s="3" t="s">
        <v>42</v>
      </c>
      <c r="E16" s="3" t="s">
        <v>36</v>
      </c>
      <c r="F16" s="3">
        <v>84</v>
      </c>
      <c r="G16" s="3">
        <v>74</v>
      </c>
      <c r="H16" s="3">
        <v>72</v>
      </c>
      <c r="I16" s="3">
        <v>78</v>
      </c>
      <c r="J16" s="3">
        <v>98</v>
      </c>
      <c r="K16" s="3">
        <f t="shared" si="0"/>
        <v>406</v>
      </c>
      <c r="L16" s="3">
        <f t="shared" si="1"/>
        <v>81.2</v>
      </c>
      <c r="M16" s="3">
        <v>81.2</v>
      </c>
      <c r="N16" s="3" t="str">
        <f t="shared" si="4"/>
        <v>A</v>
      </c>
      <c r="O16" s="3">
        <f t="shared" si="2"/>
        <v>12</v>
      </c>
      <c r="P16" s="3" t="str">
        <f t="shared" si="3"/>
        <v>Pass</v>
      </c>
      <c r="Q16" s="4" t="s">
        <v>58</v>
      </c>
    </row>
    <row r="17" spans="1:17" x14ac:dyDescent="0.3">
      <c r="A17" s="3">
        <v>16</v>
      </c>
      <c r="B17" s="3" t="s">
        <v>28</v>
      </c>
      <c r="C17" s="3">
        <v>2</v>
      </c>
      <c r="D17" s="3" t="s">
        <v>42</v>
      </c>
      <c r="E17" s="3" t="s">
        <v>36</v>
      </c>
      <c r="F17" s="3">
        <v>56</v>
      </c>
      <c r="G17" s="3">
        <v>87</v>
      </c>
      <c r="H17" s="3">
        <v>98</v>
      </c>
      <c r="I17" s="3">
        <v>74</v>
      </c>
      <c r="J17" s="3">
        <v>74</v>
      </c>
      <c r="K17" s="3">
        <f t="shared" si="0"/>
        <v>389</v>
      </c>
      <c r="L17" s="3">
        <f t="shared" si="1"/>
        <v>77.8</v>
      </c>
      <c r="M17" s="3">
        <v>77.8</v>
      </c>
      <c r="N17" s="3" t="str">
        <f t="shared" si="4"/>
        <v>B+</v>
      </c>
      <c r="O17" s="3">
        <f t="shared" si="2"/>
        <v>13</v>
      </c>
      <c r="P17" s="3" t="str">
        <f t="shared" si="3"/>
        <v>Pass</v>
      </c>
      <c r="Q17" s="4" t="s">
        <v>59</v>
      </c>
    </row>
    <row r="18" spans="1:17" x14ac:dyDescent="0.3">
      <c r="A18" s="3">
        <v>17</v>
      </c>
      <c r="B18" s="3" t="s">
        <v>29</v>
      </c>
      <c r="C18" s="3">
        <v>91</v>
      </c>
      <c r="D18" s="3" t="s">
        <v>41</v>
      </c>
      <c r="E18" s="3" t="s">
        <v>33</v>
      </c>
      <c r="F18" s="3">
        <v>11</v>
      </c>
      <c r="G18" s="3">
        <v>45</v>
      </c>
      <c r="H18" s="3">
        <v>74</v>
      </c>
      <c r="I18" s="3">
        <v>98</v>
      </c>
      <c r="J18" s="3">
        <v>100</v>
      </c>
      <c r="K18" s="3">
        <f t="shared" si="0"/>
        <v>328</v>
      </c>
      <c r="L18" s="3">
        <f t="shared" si="1"/>
        <v>65.599999999999994</v>
      </c>
      <c r="M18" s="3">
        <v>65.599999999999994</v>
      </c>
      <c r="N18" s="3" t="str">
        <f t="shared" si="4"/>
        <v>B</v>
      </c>
      <c r="O18" s="3">
        <f t="shared" si="2"/>
        <v>18</v>
      </c>
      <c r="P18" s="3" t="str">
        <f t="shared" si="3"/>
        <v>Pass</v>
      </c>
      <c r="Q18" s="4" t="s">
        <v>60</v>
      </c>
    </row>
    <row r="19" spans="1:17" x14ac:dyDescent="0.3">
      <c r="A19" s="3">
        <v>18</v>
      </c>
      <c r="B19" s="3" t="s">
        <v>30</v>
      </c>
      <c r="C19" s="3">
        <v>34</v>
      </c>
      <c r="D19" s="3" t="s">
        <v>41</v>
      </c>
      <c r="E19" s="3" t="s">
        <v>34</v>
      </c>
      <c r="F19" s="3">
        <v>54</v>
      </c>
      <c r="G19" s="3">
        <v>74</v>
      </c>
      <c r="H19" s="3">
        <v>82</v>
      </c>
      <c r="I19" s="3">
        <v>78</v>
      </c>
      <c r="J19" s="3">
        <v>100</v>
      </c>
      <c r="K19" s="3">
        <f t="shared" si="0"/>
        <v>388</v>
      </c>
      <c r="L19" s="3">
        <f t="shared" si="1"/>
        <v>77.599999999999994</v>
      </c>
      <c r="M19" s="3">
        <v>77.599999999999994</v>
      </c>
      <c r="N19" s="3" t="str">
        <f t="shared" si="4"/>
        <v>B+</v>
      </c>
      <c r="O19" s="3">
        <f t="shared" si="2"/>
        <v>14</v>
      </c>
      <c r="P19" s="3" t="str">
        <f t="shared" si="3"/>
        <v>Pass</v>
      </c>
      <c r="Q19" s="4" t="s">
        <v>61</v>
      </c>
    </row>
    <row r="20" spans="1:17" x14ac:dyDescent="0.3">
      <c r="A20" s="3">
        <v>19</v>
      </c>
      <c r="B20" s="3" t="s">
        <v>31</v>
      </c>
      <c r="C20" s="3">
        <v>60</v>
      </c>
      <c r="D20" s="3" t="s">
        <v>38</v>
      </c>
      <c r="E20" s="3" t="s">
        <v>35</v>
      </c>
      <c r="F20" s="3">
        <v>79</v>
      </c>
      <c r="G20" s="3">
        <v>87</v>
      </c>
      <c r="H20" s="3">
        <v>98</v>
      </c>
      <c r="I20" s="3">
        <v>91</v>
      </c>
      <c r="J20" s="3">
        <v>89</v>
      </c>
      <c r="K20" s="3">
        <f t="shared" si="0"/>
        <v>444</v>
      </c>
      <c r="L20" s="3">
        <f t="shared" si="1"/>
        <v>88.8</v>
      </c>
      <c r="M20" s="3">
        <v>88.8</v>
      </c>
      <c r="N20" s="3" t="str">
        <f t="shared" si="4"/>
        <v>A</v>
      </c>
      <c r="O20" s="3">
        <f t="shared" si="2"/>
        <v>8</v>
      </c>
      <c r="P20" s="3" t="str">
        <f t="shared" si="3"/>
        <v>Pass</v>
      </c>
      <c r="Q20" s="4" t="s">
        <v>62</v>
      </c>
    </row>
    <row r="21" spans="1:17" x14ac:dyDescent="0.3">
      <c r="A21" s="3">
        <v>20</v>
      </c>
      <c r="B21" s="3" t="s">
        <v>32</v>
      </c>
      <c r="C21" s="3">
        <v>4</v>
      </c>
      <c r="D21" s="3" t="s">
        <v>38</v>
      </c>
      <c r="E21" s="3" t="s">
        <v>33</v>
      </c>
      <c r="F21" s="3">
        <v>100</v>
      </c>
      <c r="G21" s="3">
        <v>91</v>
      </c>
      <c r="H21" s="3">
        <v>86</v>
      </c>
      <c r="I21" s="3">
        <v>89</v>
      </c>
      <c r="J21" s="3">
        <v>100</v>
      </c>
      <c r="K21" s="3">
        <f t="shared" si="0"/>
        <v>466</v>
      </c>
      <c r="L21" s="3">
        <f t="shared" si="1"/>
        <v>93.2</v>
      </c>
      <c r="M21" s="3">
        <v>93.2</v>
      </c>
      <c r="N21" s="3" t="str">
        <f t="shared" si="4"/>
        <v>A+</v>
      </c>
      <c r="O21" s="3">
        <f t="shared" si="2"/>
        <v>4</v>
      </c>
      <c r="P21" s="3" t="str">
        <f t="shared" si="3"/>
        <v>Pass</v>
      </c>
      <c r="Q21" s="4" t="s">
        <v>63</v>
      </c>
    </row>
    <row r="22" spans="1:17" x14ac:dyDescent="0.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</sheetData>
  <conditionalFormatting sqref="M2:M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63BE7B"/>
        <color rgb="FFFFEF9C"/>
      </colorScale>
    </cfRule>
  </conditionalFormatting>
  <conditionalFormatting sqref="P2:P22">
    <cfRule type="containsText" dxfId="1" priority="3" operator="containsText" text="Fail">
      <formula>NOT(ISERROR(SEARCH("Fail",P2)))</formula>
    </cfRule>
    <cfRule type="containsText" dxfId="0" priority="4" operator="containsText" text="PASS">
      <formula>NOT(ISERROR(SEARCH("PASS",P2)))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max"/>
        <color rgb="FF63BE7B"/>
        <color rgb="FFFFEF9C"/>
      </colorScale>
    </cfRule>
  </conditionalFormatting>
  <dataValidations count="1">
    <dataValidation type="list" allowBlank="1" showInputMessage="1" showErrorMessage="1" sqref="P25" xr:uid="{BF572F43-B5D7-47FA-AA1D-D432C6C94A8F}">
      <formula1>"COMPUTER SCIENCE ENGINEERING"</formula1>
    </dataValidation>
  </dataValidations>
  <hyperlinks>
    <hyperlink ref="Q2" r:id="rId1" xr:uid="{FC44F6D7-7A31-460A-A950-130156E38E2E}"/>
    <hyperlink ref="Q3" r:id="rId2" xr:uid="{6122C383-C117-40EC-8814-A698AC32D7B2}"/>
    <hyperlink ref="Q4" r:id="rId3" xr:uid="{90703E20-31BC-4987-A1CD-80AAA0574720}"/>
    <hyperlink ref="Q5" r:id="rId4" xr:uid="{E901DF05-D61F-4AE2-8F59-38F9C117B354}"/>
    <hyperlink ref="Q6" r:id="rId5" xr:uid="{82E1EFAE-3BF4-4337-96D8-ED63D24CD21D}"/>
    <hyperlink ref="Q7" r:id="rId6" xr:uid="{B2646C02-3E56-4BCF-95C1-7D510CC5FE32}"/>
    <hyperlink ref="Q10" r:id="rId7" xr:uid="{3196AF40-76D5-456D-923E-BF1B03D686F5}"/>
    <hyperlink ref="Q11" r:id="rId8" xr:uid="{CA4ABE08-EA28-440D-BE10-265B058243E6}"/>
    <hyperlink ref="Q12" r:id="rId9" xr:uid="{0E8C5EB3-9223-4798-B6BB-531CD5EEF336}"/>
    <hyperlink ref="Q13" r:id="rId10" xr:uid="{1ABE9178-2A64-44D9-95E1-B33826D3F64D}"/>
    <hyperlink ref="Q14" r:id="rId11" xr:uid="{4897D998-5082-4504-9C85-3F5B1B4884FE}"/>
    <hyperlink ref="Q15" r:id="rId12" xr:uid="{1AB6416D-0D47-4A7F-B708-E40E4E0D48BC}"/>
    <hyperlink ref="Q16" r:id="rId13" xr:uid="{F5BF3DE9-7686-41AC-A189-C20700258E16}"/>
    <hyperlink ref="Q17" r:id="rId14" xr:uid="{C2F50AED-A788-4FF3-B4C8-BEA6C9389ABF}"/>
    <hyperlink ref="Q18" r:id="rId15" xr:uid="{F5B4C9B4-D302-4487-846E-9ECD9CB94675}"/>
    <hyperlink ref="Q19" r:id="rId16" xr:uid="{D56C3378-EB7F-421D-A2A9-EABA4D19F7FB}"/>
    <hyperlink ref="Q20" r:id="rId17" xr:uid="{CA3CE913-C504-40C6-909A-09D7B7387EDD}"/>
    <hyperlink ref="Q21" r:id="rId18" xr:uid="{6DBF7F2F-4A10-4F5F-867B-E76773CB85AF}"/>
  </hyperlinks>
  <pageMargins left="0.7" right="0.7" top="0.75" bottom="0.75" header="0.3" footer="0.3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V</dc:creator>
  <cp:lastModifiedBy>Varunkumar V</cp:lastModifiedBy>
  <dcterms:created xsi:type="dcterms:W3CDTF">2026-07-09T05:48:10Z</dcterms:created>
  <dcterms:modified xsi:type="dcterms:W3CDTF">2026-07-15T09:56:09Z</dcterms:modified>
</cp:coreProperties>
</file>