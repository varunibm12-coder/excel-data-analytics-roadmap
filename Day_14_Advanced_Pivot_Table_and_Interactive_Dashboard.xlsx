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C7308FCF3FD5FA84/Documents/DATA ANALYST JOURNEY/"/>
    </mc:Choice>
  </mc:AlternateContent>
  <xr:revisionPtr revIDLastSave="217" documentId="8_{E0F1F66A-2EF5-43CA-AA32-E399E0BEBADD}" xr6:coauthVersionLast="47" xr6:coauthVersionMax="47" xr10:uidLastSave="{95691154-9D08-47D5-AC36-F2EB0C7226A3}"/>
  <bookViews>
    <workbookView xWindow="-113" yWindow="-113" windowWidth="24267" windowHeight="13023" xr2:uid="{6F6057CA-B2AD-480A-872D-BD28ED716309}"/>
  </bookViews>
  <sheets>
    <sheet name="Sales Data" sheetId="9" r:id="rId1"/>
    <sheet name="Pivot Report" sheetId="7" r:id="rId2"/>
    <sheet name="Dashboard" sheetId="8" r:id="rId3"/>
  </sheets>
  <definedNames>
    <definedName name="ExternalData_1" localSheetId="0" hidden="1">'Sales Data'!$A$1:$R$301</definedName>
    <definedName name="Slicer_Region">#N/A</definedName>
    <definedName name="Slicer_Segment">#N/A</definedName>
    <definedName name="Slicer_Sub_Category">#N/A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8" l="1"/>
  <c r="C3" i="8"/>
  <c r="A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A1F2DF-2520-45DF-B271-606BC8665619}"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<sst xmlns="http://schemas.openxmlformats.org/spreadsheetml/2006/main" count="3946" uniqueCount="1103">
  <si>
    <t>Sales</t>
  </si>
  <si>
    <t>Order ID</t>
  </si>
  <si>
    <t>Product ID</t>
  </si>
  <si>
    <t>Customer ID</t>
  </si>
  <si>
    <t>Category</t>
  </si>
  <si>
    <t>Furniture</t>
  </si>
  <si>
    <t>Customer Name</t>
  </si>
  <si>
    <t>Region</t>
  </si>
  <si>
    <t>South</t>
  </si>
  <si>
    <t>West</t>
  </si>
  <si>
    <t>East</t>
  </si>
  <si>
    <t>Row ID</t>
  </si>
  <si>
    <t>Order Date</t>
  </si>
  <si>
    <t>Ship Date</t>
  </si>
  <si>
    <t>Ship Mode</t>
  </si>
  <si>
    <t>Segment</t>
  </si>
  <si>
    <t>Country</t>
  </si>
  <si>
    <t>City</t>
  </si>
  <si>
    <t>State</t>
  </si>
  <si>
    <t>Postal Code</t>
  </si>
  <si>
    <t>Sub-Category</t>
  </si>
  <si>
    <t>Product Name</t>
  </si>
  <si>
    <t>CA-2017-152156</t>
  </si>
  <si>
    <t>Second Class</t>
  </si>
  <si>
    <t>CG-12520</t>
  </si>
  <si>
    <t>Claire Gute</t>
  </si>
  <si>
    <t>Consumer</t>
  </si>
  <si>
    <t>United States</t>
  </si>
  <si>
    <t>Henderson</t>
  </si>
  <si>
    <t>Kentucky</t>
  </si>
  <si>
    <t>FUR-BO-10001798</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</si>
  <si>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</si>
  <si>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</si>
  <si>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</si>
  <si>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</si>
  <si>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</si>
  <si>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</si>
  <si>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</si>
  <si>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</si>
  <si>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</si>
  <si>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</si>
  <si>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</si>
  <si>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</si>
  <si>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</si>
  <si>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</si>
  <si>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</si>
  <si>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</si>
  <si>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</si>
  <si>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</si>
  <si>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</si>
  <si>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</si>
  <si>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</si>
  <si>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</si>
  <si>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</si>
  <si>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</si>
  <si>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</si>
  <si>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</si>
  <si>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</si>
  <si>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</si>
  <si>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</si>
  <si>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</si>
  <si>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</si>
  <si>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</si>
  <si>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</si>
  <si>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</si>
  <si>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</si>
  <si>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</si>
  <si>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</si>
  <si>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</si>
  <si>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</si>
  <si>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</si>
  <si>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</si>
  <si>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</si>
  <si>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</si>
  <si>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</si>
  <si>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</si>
  <si>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</si>
  <si>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</si>
  <si>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</si>
  <si>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</si>
  <si>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</si>
  <si>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</si>
  <si>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</si>
  <si>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</si>
  <si>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</si>
  <si>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</si>
  <si>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</si>
  <si>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</si>
  <si>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</si>
  <si>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</si>
  <si>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</si>
  <si>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</si>
  <si>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</si>
  <si>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</si>
  <si>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</si>
  <si>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</si>
  <si>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</si>
  <si>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</si>
  <si>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</si>
  <si>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</si>
  <si>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</si>
  <si>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</si>
  <si>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</si>
  <si>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</si>
  <si>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</si>
  <si>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</si>
  <si>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</si>
  <si>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</si>
  <si>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</si>
  <si>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</si>
  <si>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</si>
  <si>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</si>
  <si>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</si>
  <si>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</si>
  <si>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</si>
  <si>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</si>
  <si>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</si>
  <si>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</si>
  <si>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</si>
  <si>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</si>
  <si>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</si>
  <si>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</si>
  <si>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</si>
  <si>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</si>
  <si>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</si>
  <si>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</si>
  <si>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</si>
  <si>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</si>
  <si>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</si>
  <si>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</si>
  <si>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</si>
  <si>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</si>
  <si>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</si>
  <si>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</si>
  <si>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</si>
  <si>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</si>
  <si>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</si>
  <si>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</si>
  <si>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</si>
  <si>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</si>
  <si>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</si>
  <si>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</si>
  <si>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</si>
  <si>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</si>
  <si>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</si>
  <si>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</si>
  <si>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</si>
  <si>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</si>
  <si>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</si>
  <si>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</si>
  <si>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</si>
  <si>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</si>
  <si>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</si>
  <si>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</si>
  <si>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</si>
  <si>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</si>
  <si>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</si>
  <si>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</si>
  <si>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</si>
  <si>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</si>
  <si>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</si>
  <si>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</si>
  <si>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</si>
  <si>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</si>
  <si>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</si>
  <si>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</si>
  <si>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</si>
  <si>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</si>
  <si>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</si>
  <si>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</si>
  <si>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</si>
  <si>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</si>
  <si>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</si>
  <si>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</si>
  <si>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</si>
  <si>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</si>
  <si>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</si>
  <si>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</si>
  <si>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</si>
  <si>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</si>
  <si>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</si>
  <si>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</si>
  <si>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</si>
  <si>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</si>
  <si>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</si>
  <si>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</si>
  <si>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</si>
  <si>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</si>
  <si>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</si>
  <si>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</si>
  <si>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</si>
  <si>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</si>
  <si>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</si>
  <si>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</si>
  <si>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</si>
  <si>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</si>
  <si>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</si>
  <si>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</si>
  <si>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</si>
  <si>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</si>
  <si>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</si>
  <si>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</si>
  <si>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</si>
  <si>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</si>
  <si>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</si>
  <si>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</si>
  <si>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</si>
  <si>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</si>
  <si>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</si>
  <si>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</si>
  <si>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</si>
  <si>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</si>
  <si>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</si>
  <si>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</si>
  <si>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</si>
  <si>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</si>
  <si>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</si>
  <si>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</si>
  <si>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</si>
  <si>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</si>
  <si>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</si>
  <si>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</si>
  <si>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</si>
  <si>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</si>
  <si>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</si>
  <si>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</si>
  <si>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</si>
  <si>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</si>
  <si>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</si>
  <si>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</si>
  <si>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</si>
  <si>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</si>
  <si>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</si>
  <si>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</si>
  <si>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</si>
  <si>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</si>
  <si>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</si>
  <si>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</si>
  <si>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</si>
  <si>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</si>
  <si>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</si>
  <si>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</si>
  <si>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</si>
  <si>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</si>
  <si>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</si>
  <si>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</si>
  <si>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</si>
  <si>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</si>
  <si>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</si>
  <si>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</si>
  <si>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</si>
  <si>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</si>
  <si>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</si>
  <si>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</si>
  <si>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</si>
  <si>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</si>
  <si>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</si>
  <si>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</si>
  <si>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</si>
  <si>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</si>
  <si>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</si>
  <si>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</si>
  <si>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</si>
  <si>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</si>
  <si>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</si>
  <si>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</si>
  <si>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</si>
  <si>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</si>
  <si>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</si>
  <si>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</si>
  <si>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</si>
  <si>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</si>
  <si>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</si>
  <si>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</si>
  <si>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</si>
  <si>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</si>
  <si>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</si>
  <si>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</si>
  <si>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</si>
  <si>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</si>
  <si>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</si>
  <si>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</si>
  <si>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</si>
  <si>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</si>
  <si>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</si>
  <si>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</si>
  <si>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</si>
  <si>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</si>
  <si>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</si>
  <si>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</si>
  <si>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</si>
  <si>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</si>
  <si>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</si>
  <si>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</si>
  <si>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</si>
  <si>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</si>
  <si>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</si>
  <si>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</si>
  <si>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</si>
  <si>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</si>
  <si>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</si>
  <si>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</si>
  <si>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</si>
  <si>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</si>
  <si>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</si>
  <si>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</si>
  <si>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</si>
  <si>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</si>
  <si>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</si>
  <si>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</si>
  <si>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</si>
  <si>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</si>
  <si>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</si>
  <si>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</si>
  <si>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</si>
  <si>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</si>
  <si>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</si>
  <si>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</si>
  <si>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</si>
  <si>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</si>
  <si>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</si>
  <si>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</si>
  <si>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</si>
  <si>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</si>
  <si>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</si>
  <si>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</si>
  <si>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</si>
  <si>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</si>
  <si>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</si>
  <si>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</si>
  <si>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</si>
  <si>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</si>
  <si>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</si>
  <si>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</si>
  <si>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</si>
  <si>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</si>
  <si>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</si>
  <si>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</si>
  <si>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</si>
  <si>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</si>
  <si>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</si>
  <si>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</si>
  <si>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</si>
  <si>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</si>
  <si>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</si>
  <si>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</si>
  <si>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</si>
  <si>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</si>
  <si>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</si>
  <si>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</si>
  <si>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</si>
  <si>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</si>
  <si>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</si>
  <si>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</si>
  <si>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</si>
  <si>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</si>
  <si>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</si>
  <si>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</si>
  <si>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</si>
  <si>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</si>
  <si>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</si>
  <si>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</si>
  <si>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</si>
  <si>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</si>
  <si>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</si>
  <si>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</si>
  <si>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</si>
  <si>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</si>
  <si>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</si>
  <si>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</si>
  <si>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</si>
  <si>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</si>
  <si>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</si>
  <si>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</si>
  <si>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</si>
  <si>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</si>
  <si>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</si>
  <si>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</si>
  <si>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</si>
  <si>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</si>
  <si>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</si>
  <si>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</si>
  <si>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</si>
  <si>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</si>
  <si>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</si>
  <si>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</si>
  <si>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</si>
  <si>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</si>
  <si>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</si>
  <si>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</si>
  <si>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</si>
  <si>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</si>
  <si>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</si>
  <si>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</si>
  <si>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</si>
  <si>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</si>
  <si>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</si>
  <si>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</si>
  <si>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</si>
  <si>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</si>
  <si>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</si>
  <si>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</si>
  <si>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</si>
  <si>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</si>
  <si>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</si>
  <si>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</si>
  <si>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</si>
  <si>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</si>
  <si>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</si>
  <si>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</si>
  <si>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</si>
  <si>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</si>
  <si>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</si>
  <si>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</si>
  <si>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</si>
  <si>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</si>
  <si>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</si>
  <si>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</si>
  <si>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</si>
  <si>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</si>
  <si>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</si>
  <si>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</si>
  <si>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</si>
  <si>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</si>
  <si>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</si>
  <si>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</si>
  <si>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</si>
  <si>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</si>
  <si>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</si>
  <si>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</si>
  <si>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</si>
  <si>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</si>
  <si>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</si>
  <si>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</si>
  <si>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</si>
  <si>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</si>
  <si>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</si>
  <si>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</si>
  <si>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</si>
  <si>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</si>
  <si>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</si>
  <si>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</si>
  <si>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</si>
  <si>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</si>
  <si>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</si>
  <si>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</si>
  <si>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</si>
  <si>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</si>
  <si>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</si>
  <si>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</si>
  <si>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</si>
  <si>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</si>
  <si>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</si>
  <si>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</si>
  <si>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</si>
  <si>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</si>
  <si>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</si>
  <si>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</si>
  <si>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</si>
  <si>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</si>
  <si>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</si>
  <si>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</si>
  <si>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</si>
  <si>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</si>
  <si>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</si>
  <si>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</si>
  <si>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</si>
  <si>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</si>
  <si>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</si>
  <si>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</si>
  <si>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</si>
  <si>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</si>
  <si>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</si>
  <si>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</si>
  <si>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</si>
  <si>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</si>
  <si>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</si>
  <si>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</si>
  <si>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</si>
  <si>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</si>
  <si>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</si>
  <si>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</si>
  <si>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</si>
  <si>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</si>
  <si>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</si>
  <si>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</si>
  <si>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</si>
  <si>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</si>
  <si>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</si>
  <si>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</si>
  <si>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</si>
  <si>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</si>
  <si>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</si>
  <si>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</si>
  <si>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</si>
  <si>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</si>
  <si>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</si>
  <si>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</si>
  <si>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</si>
  <si>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</si>
  <si>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</si>
  <si>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</si>
  <si>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</si>
  <si>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</si>
  <si>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</si>
  <si>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</si>
  <si>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</si>
  <si>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</si>
  <si>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</si>
  <si>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</si>
  <si>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</si>
  <si>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</si>
  <si>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</si>
  <si>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</si>
  <si>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</si>
  <si>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</si>
  <si>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</si>
  <si>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</si>
  <si>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</si>
  <si>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</si>
  <si>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</si>
  <si>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</si>
  <si>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</si>
  <si>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</si>
  <si>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</si>
  <si>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</si>
  <si>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</si>
  <si>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</si>
  <si>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</si>
  <si>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</si>
  <si>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</si>
  <si>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</si>
  <si>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</si>
  <si>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</si>
  <si>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</si>
  <si>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</si>
  <si>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</si>
  <si>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</si>
  <si>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</si>
  <si>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</si>
  <si>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</si>
  <si>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</si>
  <si>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</si>
  <si>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</si>
  <si>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</si>
  <si>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</si>
  <si>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</si>
  <si>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</si>
  <si>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</si>
  <si>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</si>
  <si>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</si>
  <si>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</si>
  <si>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</si>
  <si>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</si>
  <si>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</si>
  <si>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</si>
  <si>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</si>
  <si>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</si>
  <si>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</si>
  <si>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</si>
  <si>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</si>
  <si>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</si>
  <si>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</si>
  <si>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</si>
  <si>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</si>
  <si>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</si>
  <si>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</si>
  <si>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</si>
  <si>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</si>
  <si>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</si>
  <si>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</si>
  <si>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</si>
  <si>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</si>
  <si>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</si>
  <si>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</si>
  <si>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</si>
  <si>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</si>
  <si>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</si>
  <si>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</si>
  <si>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</si>
  <si>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</si>
  <si>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</si>
  <si>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</si>
  <si>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</si>
  <si>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</si>
  <si>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</si>
  <si>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</si>
  <si>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</si>
  <si>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</si>
  <si>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</si>
  <si>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</si>
  <si>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</si>
  <si>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</si>
  <si>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</si>
  <si>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</si>
  <si>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</si>
  <si>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</si>
  <si>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</si>
  <si>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</si>
  <si>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</si>
  <si>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</si>
  <si>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</si>
  <si>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</si>
  <si>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</si>
  <si>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</si>
  <si>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</si>
  <si>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</si>
  <si>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</si>
  <si>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</si>
  <si>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</si>
  <si>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</si>
  <si>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</si>
  <si>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</si>
  <si>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</si>
  <si>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</si>
  <si>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</si>
  <si>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</si>
  <si>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</si>
  <si>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</si>
  <si>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</si>
  <si>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</si>
  <si>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</si>
  <si>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</si>
  <si>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</si>
  <si>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</si>
  <si>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</si>
  <si>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</si>
  <si>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</si>
  <si>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</si>
  <si>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</si>
  <si>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</si>
  <si>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</si>
  <si>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</si>
  <si>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</si>
  <si>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</si>
  <si>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</si>
  <si>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</si>
  <si>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</si>
  <si>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</si>
  <si>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</si>
  <si>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</si>
  <si>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</si>
  <si>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</si>
  <si>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</si>
  <si>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</si>
  <si>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</si>
  <si>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</si>
  <si>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</si>
  <si>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</si>
  <si>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</si>
  <si>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</si>
  <si>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</si>
  <si>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</si>
  <si>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</si>
  <si>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</si>
  <si>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</si>
  <si>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</si>
  <si>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</si>
  <si>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</si>
  <si>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</si>
  <si>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</si>
  <si>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</si>
  <si>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</si>
  <si>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</si>
  <si>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</si>
  <si>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</si>
  <si>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</si>
  <si>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</si>
  <si>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</si>
  <si>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</si>
  <si>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</si>
  <si>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</si>
  <si>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</si>
  <si>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</si>
  <si>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</si>
  <si>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</si>
  <si>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</si>
  <si>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</si>
  <si>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</si>
  <si>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</si>
  <si>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</si>
  <si>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</si>
  <si>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</si>
  <si>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</si>
  <si>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</si>
  <si>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</si>
  <si>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</si>
  <si>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</si>
  <si>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</si>
  <si>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</si>
  <si>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</si>
  <si>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</si>
  <si>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</si>
  <si>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</si>
  <si>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</si>
  <si>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</si>
  <si>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</si>
  <si>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</si>
  <si>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</si>
  <si>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</si>
  <si>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</si>
  <si>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</si>
  <si>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</si>
  <si>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</si>
  <si>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</si>
  <si>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</si>
  <si>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</si>
  <si>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</si>
  <si>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</si>
  <si>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</si>
  <si>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</si>
  <si>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</si>
  <si>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</si>
  <si>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</si>
  <si>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</si>
  <si>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</si>
  <si>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</si>
  <si>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</si>
  <si>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</si>
  <si>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</si>
  <si>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</si>
  <si>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</si>
  <si>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</si>
  <si>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</si>
  <si>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</si>
  <si>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</si>
  <si>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</si>
  <si>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</si>
  <si>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</si>
  <si>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</si>
  <si>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</si>
  <si>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</si>
  <si>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</si>
  <si>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</si>
  <si>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</si>
  <si>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</si>
  <si>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</si>
  <si>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</si>
  <si>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</si>
  <si>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</si>
  <si>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</si>
  <si>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</si>
  <si>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</si>
  <si>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</si>
  <si>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</si>
  <si>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</si>
  <si>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</si>
  <si>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</si>
  <si>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</si>
  <si>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</si>
  <si>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</si>
  <si>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</si>
  <si>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</si>
  <si>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</si>
  <si>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</si>
  <si>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</si>
  <si>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</si>
  <si>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</si>
  <si>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</si>
  <si>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</si>
  <si>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</si>
  <si>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</si>
  <si>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</si>
  <si>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</si>
  <si>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</si>
  <si>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</si>
  <si>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</si>
  <si>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</si>
  <si>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</si>
  <si>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</si>
  <si>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</si>
  <si>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</si>
  <si>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</si>
  <si>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</si>
  <si>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</si>
  <si>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</si>
  <si>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</si>
  <si>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</si>
  <si>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</si>
  <si>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</si>
  <si>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</si>
  <si>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</si>
  <si>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</si>
  <si>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</si>
  <si>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</si>
  <si>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</si>
  <si>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</si>
  <si>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</si>
  <si>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</si>
  <si>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</si>
  <si>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</si>
  <si>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</si>
  <si>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</si>
  <si>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</si>
  <si>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</si>
  <si>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</si>
  <si>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</si>
  <si>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</si>
  <si>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</si>
  <si>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</si>
  <si>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</si>
  <si>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</si>
  <si>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</si>
  <si>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</si>
  <si>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</si>
  <si>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</si>
  <si>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</si>
  <si>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</si>
  <si>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</si>
  <si>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</si>
  <si>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</si>
  <si>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</si>
  <si>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</si>
  <si>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</si>
  <si>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</si>
  <si>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</si>
  <si>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</si>
  <si>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</si>
  <si>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</si>
  <si>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</si>
  <si>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</si>
  <si>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</si>
  <si>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</si>
  <si>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</si>
  <si>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</si>
  <si>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</si>
  <si>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</si>
  <si>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</si>
  <si>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</si>
  <si>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</si>
  <si>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</si>
  <si>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</si>
  <si>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</si>
  <si>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</si>
  <si>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</si>
  <si>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</si>
  <si>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</si>
  <si>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</si>
  <si>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</si>
  <si>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</si>
  <si>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</si>
  <si>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</si>
  <si>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</si>
  <si>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</si>
  <si>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</si>
  <si>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</si>
  <si>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</si>
  <si>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</si>
  <si>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</si>
  <si>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</si>
  <si>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</si>
  <si>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</si>
  <si>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</si>
  <si>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</si>
  <si>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</si>
  <si>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</si>
  <si>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</si>
  <si>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</si>
  <si>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</si>
  <si>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</si>
  <si>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</si>
  <si>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</si>
  <si>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</si>
  <si>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</si>
  <si>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</si>
  <si>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</si>
  <si>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</si>
  <si>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</si>
  <si>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</si>
  <si>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</si>
  <si>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</si>
  <si>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</si>
  <si>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</si>
  <si>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</si>
  <si>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</si>
  <si>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</si>
  <si>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</si>
  <si>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</si>
  <si>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</si>
  <si>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</si>
  <si>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</si>
  <si>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</si>
  <si>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</si>
  <si>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</si>
  <si>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</si>
  <si>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</si>
  <si>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</si>
  <si>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</si>
  <si>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</si>
  <si>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</si>
  <si>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</si>
  <si>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</si>
  <si>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</si>
  <si>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</si>
  <si>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</si>
  <si>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</si>
  <si>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</si>
  <si>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</si>
  <si>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</si>
  <si>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</si>
  <si>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</si>
  <si>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</si>
  <si>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</si>
  <si>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</si>
  <si>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</si>
  <si>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</si>
  <si>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</si>
  <si>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</si>
  <si>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</si>
  <si>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</si>
  <si>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</si>
  <si>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</si>
  <si>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</si>
  <si>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</si>
  <si>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</si>
  <si>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</si>
  <si>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</si>
  <si>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</si>
  <si>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</si>
  <si>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</si>
  <si>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</si>
  <si>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</si>
  <si>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</si>
  <si>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</si>
  <si>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</si>
  <si>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</si>
  <si>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</si>
  <si>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</si>
  <si>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</si>
  <si>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</si>
  <si>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</si>
  <si>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</si>
  <si>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</si>
  <si>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</si>
  <si>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</si>
  <si>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</si>
  <si>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</si>
  <si>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</si>
  <si>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</si>
  <si>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</si>
  <si>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</si>
  <si>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</si>
  <si>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</si>
  <si>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</si>
  <si>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</si>
  <si>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</si>
  <si>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</si>
  <si>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</si>
  <si>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</si>
  <si>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</si>
  <si>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</si>
  <si>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</si>
  <si>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</si>
  <si>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</si>
  <si>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</si>
  <si>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</si>
  <si>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</si>
  <si>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</si>
  <si>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</si>
  <si>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</si>
  <si>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</si>
  <si>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</si>
  <si>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</si>
  <si>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</si>
  <si>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</si>
  <si>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</si>
  <si>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</si>
  <si>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</si>
  <si>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</si>
  <si>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</si>
  <si>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</si>
  <si>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</si>
  <si>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</si>
  <si>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</si>
  <si>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</si>
  <si>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</si>
  <si>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</si>
  <si>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</si>
  <si>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</si>
  <si>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</si>
  <si>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</si>
  <si>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</si>
  <si>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</si>
  <si>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</si>
  <si>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</si>
  <si>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</si>
  <si>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</si>
  <si>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</si>
  <si>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</si>
  <si>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</si>
  <si>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</si>
  <si>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</si>
  <si>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</si>
  <si>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</si>
  <si>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</si>
  <si>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</si>
  <si>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</si>
  <si>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</si>
  <si>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</si>
  <si>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</si>
  <si>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</si>
  <si>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</si>
  <si>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</si>
  <si>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</si>
  <si>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</si>
  <si>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</si>
  <si>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</si>
  <si>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</si>
  <si>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</si>
  <si>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</si>
  <si>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</si>
  <si>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</si>
  <si>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</si>
  <si>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</si>
  <si>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</si>
  <si>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</si>
  <si>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</si>
  <si>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</si>
  <si>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</si>
  <si>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</si>
  <si>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</si>
  <si>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</si>
  <si>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</si>
  <si>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</si>
  <si>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</si>
  <si>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</si>
  <si>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</si>
  <si>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</si>
  <si>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</si>
  <si>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</si>
  <si>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</si>
  <si>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</si>
  <si>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</si>
  <si>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</si>
  <si>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</si>
  <si>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</si>
  <si>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</si>
  <si>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</si>
  <si>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</si>
  <si>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</si>
  <si>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</si>
  <si>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</si>
  <si>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</si>
  <si>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</si>
  <si>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</si>
  <si>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</si>
  <si>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</si>
  <si>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</si>
  <si>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</si>
  <si>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</si>
  <si>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</si>
  <si>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</si>
  <si>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</si>
  <si>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</si>
  <si>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</si>
  <si>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</si>
  <si>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</si>
  <si>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</si>
  <si>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</si>
  <si>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</si>
  <si>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</si>
  <si>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</si>
  <si>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</si>
  <si>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</si>
  <si>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</si>
  <si>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</si>
  <si>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</si>
  <si>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</si>
  <si>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</si>
  <si>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</si>
  <si>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</si>
  <si>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</si>
  <si>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</si>
  <si>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</si>
  <si>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</si>
  <si>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</si>
  <si>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</si>
  <si>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</si>
  <si>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</si>
  <si>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</si>
  <si>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</si>
  <si>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</si>
  <si>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</si>
  <si>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</si>
  <si>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</si>
  <si>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</si>
  <si>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</si>
  <si>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</si>
  <si>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</si>
  <si>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</si>
  <si>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</si>
  <si>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</si>
  <si>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</si>
  <si>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</si>
  <si>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</si>
  <si>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</si>
  <si>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</si>
  <si>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Sum of Sales</t>
  </si>
  <si>
    <t>Row Labels</t>
  </si>
  <si>
    <t>Grand Total</t>
  </si>
  <si>
    <t>Total Sales</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</si>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</sst>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2" borderId="0" xfId="0" applyFont="1" applyFill="1"/>
    <xf numFmtId="0" fontId="1" fillId="0" borderId="0" xfId="0" applyFont="1" applyAlignment="1">
      <alignment horizontal="center"/>
    </xf>
    <xf numFmtId="2" fontId="1" fillId="0" borderId="0" xfId="0" applyNumberFormat="1" applyFon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[Day_14_Advanced_Pivot_Table_and_Interactive_Dashboard.xlsx]Pivot Report!PivotTable1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Report'!$B$1</c:f>
              <c:strCache>
                <c:ptCount val="1"/>
                <c:pt idx="0">
                  <c:v>Total</c:v>
                </c:pt>
              </c:strCache>
            </c:strRef>
          </c:tx>
          <c:spPr>
            <a:solidFill>
              <a:schemeClr val="accent1"/>
            </a:solidFill>
            <a:ln>
              <a:noFill/>
            </a:ln>
            <a:effectLst/>
          </c:spPr>
          <c:invertIfNegative val="0"/>
          <c:cat>
            <c:strRef>
              <c:f>'Pivot Report'!$A$2:$A$6</c:f>
              <c:strCache>
                <c:ptCount val="4"/>
                <c:pt idx="0">
                  <c:v>Central</c:v>
                </c:pt>
                <c:pt idx="1">
                  <c:v>East</c:v>
                </c:pt>
                <c:pt idx="2">
                  <c:v>South</c:v>
                </c:pt>
                <c:pt idx="3">
                  <c:v>West</c:v>
                </c:pt>
              </c:strCache>
            </c:strRef>
          </c:cat>
          <c:val>
            <c:numRef>
              <c:f>'Pivot Report'!$B$2:$B$6</c:f>
              <c:numCache>
                <c:formatCode>General</c:formatCode>
                <c:ptCount val="4"/>
                <c:pt idx="0">
                  <c:v>35738.805199999988</c:v>
                </c:pt>
                <c:pt idx="1">
                  <c:v>13439.848</c:v>
                </c:pt>
                <c:pt idx="2">
                  <c:v>8601.6219999999994</c:v>
                </c:pt>
                <c:pt idx="3">
                  <c:v>20123.533999999989</c:v>
                </c:pt>
              </c:numCache>
            </c:numRef>
          </c:val>
          <c:extLst>
            <c:ext xmlns:c16="http://schemas.microsoft.com/office/drawing/2014/chart" uri="{C3380CC4-5D6E-409C-BE32-E72D297353CC}">
              <c16:uniqueId val="{00000000-19E6-48E2-B790-45981DB92FA0}"/>
            </c:ext>
          </c:extLst>
        </c:ser>
        <c:dLbls>
          <c:showLegendKey val="0"/>
          <c:showVal val="0"/>
          <c:showCatName val="0"/>
          <c:showSerName val="0"/>
          <c:showPercent val="0"/>
          <c:showBubbleSize val="0"/>
        </c:dLbls>
        <c:gapWidth val="219"/>
        <c:overlap val="-27"/>
        <c:axId val="757789104"/>
        <c:axId val="757789584"/>
      </c:barChart>
      <c:catAx>
        <c:axId val="75778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89584"/>
        <c:crosses val="autoZero"/>
        <c:auto val="1"/>
        <c:lblAlgn val="ctr"/>
        <c:lblOffset val="100"/>
        <c:noMultiLvlLbl val="0"/>
      </c:catAx>
      <c:valAx>
        <c:axId val="7577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[Day_14_Advanced_Pivot_Table_and_Interactive_Dashboard.xlsx]Pivot Report!PivotTable2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Report'!$G$1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04-4522-B676-F9DADE9125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04-4522-B676-F9DADE9125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04-4522-B676-F9DADE9125F5}"/>
              </c:ext>
            </c:extLst>
          </c:dPt>
          <c:cat>
            <c:strRef>
              <c:f>'Pivot Report'!$F$2:$F$5</c:f>
              <c:strCache>
                <c:ptCount val="3"/>
                <c:pt idx="0">
                  <c:v>Furniture</c:v>
                </c:pt>
                <c:pt idx="1">
                  <c:v>Office Supplies</c:v>
                </c:pt>
                <c:pt idx="2">
                  <c:v>Technology</c:v>
                </c:pt>
              </c:strCache>
            </c:strRef>
          </c:cat>
          <c:val>
            <c:numRef>
              <c:f>'Pivot Report'!$G$2:$G$5</c:f>
              <c:numCache>
                <c:formatCode>General</c:formatCode>
                <c:ptCount val="3"/>
                <c:pt idx="0">
                  <c:v>28126.361200000003</c:v>
                </c:pt>
                <c:pt idx="1">
                  <c:v>17110.423999999988</c:v>
                </c:pt>
                <c:pt idx="2">
                  <c:v>32667.023999999994</c:v>
                </c:pt>
              </c:numCache>
            </c:numRef>
          </c:val>
          <c:extLst>
            <c:ext xmlns:c16="http://schemas.microsoft.com/office/drawing/2014/chart" uri="{C3380CC4-5D6E-409C-BE32-E72D297353CC}">
              <c16:uniqueId val="{00000006-7304-4522-B676-F9DADE9125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198782</xdr:colOff>
      <xdr:row>6</xdr:row>
      <xdr:rowOff>174928</xdr:rowOff>
    </xdr:from>
    <xdr:to>
      <xdr:col>4</xdr:col>
      <xdr:colOff>477078</xdr:colOff>
      <xdr:row>20</xdr:row>
      <xdr:rowOff>54739</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3A369598-BD9E-BF25-B031-41916153BB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24215" y="1319916"/>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850789</xdr:colOff>
      <xdr:row>7</xdr:row>
      <xdr:rowOff>119269</xdr:rowOff>
    </xdr:from>
    <xdr:to>
      <xdr:col>8</xdr:col>
      <xdr:colOff>270344</xdr:colOff>
      <xdr:row>20</xdr:row>
      <xdr:rowOff>189911</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32ECD437-544A-1615-4390-333EE562EE2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762831" y="1455088"/>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667909</xdr:colOff>
      <xdr:row>8</xdr:row>
      <xdr:rowOff>0</xdr:rowOff>
    </xdr:from>
    <xdr:to>
      <xdr:col>12</xdr:col>
      <xdr:colOff>135172</xdr:colOff>
      <xdr:row>21</xdr:row>
      <xdr:rowOff>70642</xdr:rowOff>
    </xdr:to>
    <mc:AlternateContent xmlns:mc="http://schemas.openxmlformats.org/markup-compatibility/2006">
      <mc:Choice xmlns:a14="http://schemas.microsoft.com/office/drawing/2010/main" Requires="a14">
        <xdr:graphicFrame macro="">
          <xdr:nvGraphicFramePr>
            <xdr:cNvPr id="7" name="Sub-Category">
              <a:extLst>
                <a:ext uri="{FF2B5EF4-FFF2-40B4-BE49-F238E27FC236}">
                  <a16:creationId xmlns:a16="http://schemas.microsoft.com/office/drawing/2014/main" id="{B033A507-5A8A-1464-42A6-5BEA0EA8225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7903596" y="1526650"/>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174928</xdr:rowOff>
    </xdr:from>
    <xdr:to>
      <xdr:col>2</xdr:col>
      <xdr:colOff>938255</xdr:colOff>
      <xdr:row>14</xdr:row>
      <xdr:rowOff>7951</xdr:rowOff>
    </xdr:to>
    <xdr:graphicFrame macro="">
      <xdr:nvGraphicFramePr>
        <xdr:cNvPr id="3" name="Chart 1">
          <a:extLst>
            <a:ext uri="{FF2B5EF4-FFF2-40B4-BE49-F238E27FC236}">
              <a16:creationId xmlns:a16="http://schemas.microsoft.com/office/drawing/2014/main" id="{C14AFB8C-C65B-F0A9-001C-A28AA6B52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966084</xdr:colOff>
      <xdr:row>3</xdr:row>
      <xdr:rowOff>174928</xdr:rowOff>
    </xdr:from>
    <xdr:to>
      <xdr:col>6</xdr:col>
      <xdr:colOff>43733</xdr:colOff>
      <xdr:row>14</xdr:row>
      <xdr:rowOff>8984</xdr:rowOff>
    </xdr:to>
    <xdr:graphicFrame macro="">
      <xdr:nvGraphicFramePr>
        <xdr:cNvPr id="4" name="Chart 2">
          <a:extLst>
            <a:ext uri="{FF2B5EF4-FFF2-40B4-BE49-F238E27FC236}">
              <a16:creationId xmlns:a16="http://schemas.microsoft.com/office/drawing/2014/main" id="{3C2AAACC-7071-56D7-4BA0-B854551FE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28.514120254629" createdVersion="8" refreshedVersion="8" minRefreshableVersion="3" recordCount="300" xr:uid="{7E460760-D3E8-456B-A4AB-59145A896B4C}">
  <cacheSource type="worksheet">
    <worksheetSource name="train"/>
  </cacheSource>
  <cacheFields count="18">
    <cacheField name="Row ID" numFmtId="0">
      <sharedItems containsSemiMixedTypes="0" containsString="0" containsNumber="1" containsInteger="1" minValue="1" maxValue="300"/>
    </cacheField>
    <cacheField name="Order ID" numFmtId="0">
      <sharedItems count="137">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haredItems>
    </cacheField>
    <cacheField name="Order Date" numFmtId="14">
      <sharedItems containsSemiMixedTypes="0" containsNonDate="0" containsDate="1" containsString="0" minDate="2015-03-01T00:00:00" maxDate="2018-12-29T00:00:00"/>
    </cacheField>
    <cacheField name="Ship Date" numFmtId="14">
      <sharedItems containsSemiMixedTypes="0" containsNonDate="0" containsDate="1" containsString="0" minDate="2015-03-06T00:00:00" maxDate="2019-01-03T00:00:00"/>
    </cacheField>
    <cacheField name="Ship Mode" numFmtId="0">
      <sharedItems count="3">
        <s v="Second Class"/>
        <s v="Standard Class"/>
        <s v="First Class"/>
      </sharedItems>
    </cacheField>
    <cacheField name="Customer ID" numFmtId="0">
      <sharedItems count="127">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emiMixedTypes="0" containsString="0" containsNumber="1" containsInteger="1" minValue="6824" maxValue="98115"/>
    </cacheField>
    <cacheField name="Region" numFmtId="0">
      <sharedItems count="4">
        <s v="South"/>
        <s v="West"/>
        <s v="Central"/>
        <s v="East"/>
      </sharedItems>
    </cacheField>
    <cacheField name="Product ID" numFmtId="0">
      <sharedItems count="274">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haredItems>
    </cacheField>
    <cacheField name="Category" numFmtId="0">
      <sharedItems count="3">
        <s v="Furniture"/>
        <s v="Office Supplies"/>
        <s v="Technology"/>
      </sharedItems>
    </cacheField>
    <cacheField name="Sub-Category" numFmtId="0">
      <sharedItems count="16">
        <s v="Bookcases"/>
        <s v="Chairs"/>
        <s v="Labels"/>
        <s v="Tables"/>
        <s v="Storage"/>
        <s v="Furnishings"/>
        <s v="Art"/>
        <s v="Phones"/>
        <s v="Binders"/>
        <s v="Appliances"/>
        <s v="Paper"/>
        <s v="Accessories"/>
        <s v="Envelopes"/>
        <s v="Fasteners"/>
        <s v="Supplies"/>
        <s v="Machines"/>
      </sharedItems>
    </cacheField>
    <cacheField name="Product Name" numFmtId="0">
      <sharedItems count="274">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haredItems>
    </cacheField>
    <cacheField name="Sales" numFmtId="0">
      <sharedItems containsSemiMixedTypes="0" containsString="0" containsNumber="1" minValue="1.248" maxValue="8159.9520000000002"/>
    </cacheField>
  </cacheFields>
  <extLst>
    <ext xmlns:x14="http://schemas.microsoft.com/office/spreadsheetml/2009/9/main" uri="{725AE2AE-9491-48be-B2B4-4EB974FC3084}">
      <x14:pivotCacheDefinition pivotCacheId="150850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d v="2017-11-08T00:00:00"/>
    <d v="2017-11-11T00:00:00"/>
    <x v="0"/>
    <x v="0"/>
    <s v="Claire Gute"/>
    <x v="0"/>
    <x v="0"/>
    <s v="Henderson"/>
    <s v="Kentucky"/>
    <n v="42420"/>
    <x v="0"/>
    <x v="0"/>
    <x v="0"/>
    <x v="0"/>
    <x v="0"/>
    <n v="261.95999999999998"/>
  </r>
  <r>
    <n v="2"/>
    <x v="0"/>
    <d v="2017-11-08T00:00:00"/>
    <d v="2017-11-11T00:00:00"/>
    <x v="0"/>
    <x v="0"/>
    <s v="Claire Gute"/>
    <x v="0"/>
    <x v="0"/>
    <s v="Henderson"/>
    <s v="Kentucky"/>
    <n v="42420"/>
    <x v="0"/>
    <x v="1"/>
    <x v="0"/>
    <x v="1"/>
    <x v="1"/>
    <n v="731.94"/>
  </r>
  <r>
    <n v="3"/>
    <x v="1"/>
    <d v="2017-06-12T00:00:00"/>
    <d v="2017-06-16T00:00:00"/>
    <x v="0"/>
    <x v="1"/>
    <s v="Darrin Van Huff"/>
    <x v="1"/>
    <x v="0"/>
    <s v="Los Angeles"/>
    <s v="California"/>
    <n v="90036"/>
    <x v="1"/>
    <x v="2"/>
    <x v="1"/>
    <x v="2"/>
    <x v="2"/>
    <n v="14.62"/>
  </r>
  <r>
    <n v="4"/>
    <x v="2"/>
    <d v="2016-10-11T00:00:00"/>
    <d v="2016-10-18T00:00:00"/>
    <x v="1"/>
    <x v="2"/>
    <s v="Sean O'Donnell"/>
    <x v="0"/>
    <x v="0"/>
    <s v="Fort Lauderdale"/>
    <s v="Florida"/>
    <n v="33311"/>
    <x v="0"/>
    <x v="3"/>
    <x v="0"/>
    <x v="3"/>
    <x v="3"/>
    <n v="957.57749999999999"/>
  </r>
  <r>
    <n v="5"/>
    <x v="2"/>
    <d v="2016-10-11T00:00:00"/>
    <d v="2016-10-18T00:00:00"/>
    <x v="1"/>
    <x v="2"/>
    <s v="Sean O'Donnell"/>
    <x v="0"/>
    <x v="0"/>
    <s v="Fort Lauderdale"/>
    <s v="Florida"/>
    <n v="33311"/>
    <x v="0"/>
    <x v="4"/>
    <x v="1"/>
    <x v="4"/>
    <x v="4"/>
    <n v="22.367999999999999"/>
  </r>
  <r>
    <n v="6"/>
    <x v="3"/>
    <d v="2015-06-09T00:00:00"/>
    <d v="2015-06-14T00:00:00"/>
    <x v="1"/>
    <x v="3"/>
    <s v="Brosina Hoffman"/>
    <x v="0"/>
    <x v="0"/>
    <s v="Los Angeles"/>
    <s v="California"/>
    <n v="90032"/>
    <x v="1"/>
    <x v="5"/>
    <x v="0"/>
    <x v="5"/>
    <x v="5"/>
    <n v="48.86"/>
  </r>
  <r>
    <n v="7"/>
    <x v="3"/>
    <d v="2015-06-09T00:00:00"/>
    <d v="2015-06-14T00:00:00"/>
    <x v="1"/>
    <x v="3"/>
    <s v="Brosina Hoffman"/>
    <x v="0"/>
    <x v="0"/>
    <s v="Los Angeles"/>
    <s v="California"/>
    <n v="90032"/>
    <x v="1"/>
    <x v="6"/>
    <x v="1"/>
    <x v="6"/>
    <x v="6"/>
    <n v="7.28"/>
  </r>
  <r>
    <n v="8"/>
    <x v="3"/>
    <d v="2015-06-09T00:00:00"/>
    <d v="2015-06-14T00:00:00"/>
    <x v="1"/>
    <x v="3"/>
    <s v="Brosina Hoffman"/>
    <x v="0"/>
    <x v="0"/>
    <s v="Los Angeles"/>
    <s v="California"/>
    <n v="90032"/>
    <x v="1"/>
    <x v="7"/>
    <x v="2"/>
    <x v="7"/>
    <x v="7"/>
    <n v="907.15200000000004"/>
  </r>
  <r>
    <n v="9"/>
    <x v="3"/>
    <d v="2015-06-09T00:00:00"/>
    <d v="2015-06-14T00:00:00"/>
    <x v="1"/>
    <x v="3"/>
    <s v="Brosina Hoffman"/>
    <x v="0"/>
    <x v="0"/>
    <s v="Los Angeles"/>
    <s v="California"/>
    <n v="90032"/>
    <x v="1"/>
    <x v="8"/>
    <x v="1"/>
    <x v="8"/>
    <x v="8"/>
    <n v="18.504000000000001"/>
  </r>
  <r>
    <n v="10"/>
    <x v="3"/>
    <d v="2015-06-09T00:00:00"/>
    <d v="2015-06-14T00:00:00"/>
    <x v="1"/>
    <x v="3"/>
    <s v="Brosina Hoffman"/>
    <x v="0"/>
    <x v="0"/>
    <s v="Los Angeles"/>
    <s v="California"/>
    <n v="90032"/>
    <x v="1"/>
    <x v="9"/>
    <x v="1"/>
    <x v="9"/>
    <x v="9"/>
    <n v="114.9"/>
  </r>
  <r>
    <n v="11"/>
    <x v="3"/>
    <d v="2015-06-09T00:00:00"/>
    <d v="2015-06-14T00:00:00"/>
    <x v="1"/>
    <x v="3"/>
    <s v="Brosina Hoffman"/>
    <x v="0"/>
    <x v="0"/>
    <s v="Los Angeles"/>
    <s v="California"/>
    <n v="90032"/>
    <x v="1"/>
    <x v="10"/>
    <x v="0"/>
    <x v="3"/>
    <x v="10"/>
    <n v="1706.184"/>
  </r>
  <r>
    <n v="12"/>
    <x v="3"/>
    <d v="2015-06-09T00:00:00"/>
    <d v="2015-06-14T00:00:00"/>
    <x v="1"/>
    <x v="3"/>
    <s v="Brosina Hoffman"/>
    <x v="0"/>
    <x v="0"/>
    <s v="Los Angeles"/>
    <s v="California"/>
    <n v="90032"/>
    <x v="1"/>
    <x v="11"/>
    <x v="2"/>
    <x v="7"/>
    <x v="11"/>
    <n v="911.42399999999998"/>
  </r>
  <r>
    <n v="13"/>
    <x v="4"/>
    <d v="2018-04-15T00:00:00"/>
    <d v="2018-04-20T00:00:00"/>
    <x v="1"/>
    <x v="4"/>
    <s v="Andrew Allen"/>
    <x v="0"/>
    <x v="0"/>
    <s v="Concord"/>
    <s v="North Carolina"/>
    <n v="28027"/>
    <x v="0"/>
    <x v="12"/>
    <x v="1"/>
    <x v="10"/>
    <x v="12"/>
    <n v="15.552"/>
  </r>
  <r>
    <n v="14"/>
    <x v="5"/>
    <d v="2017-12-05T00:00:00"/>
    <d v="2017-12-10T00:00:00"/>
    <x v="1"/>
    <x v="5"/>
    <s v="Irene Maddox"/>
    <x v="0"/>
    <x v="0"/>
    <s v="Seattle"/>
    <s v="Washington"/>
    <n v="98103"/>
    <x v="1"/>
    <x v="13"/>
    <x v="1"/>
    <x v="8"/>
    <x v="13"/>
    <n v="407.976"/>
  </r>
  <r>
    <n v="15"/>
    <x v="6"/>
    <d v="2016-11-22T00:00:00"/>
    <d v="2016-11-26T00:00:00"/>
    <x v="1"/>
    <x v="6"/>
    <s v="Harold Pawlan"/>
    <x v="2"/>
    <x v="0"/>
    <s v="Fort Worth"/>
    <s v="Texas"/>
    <n v="76106"/>
    <x v="2"/>
    <x v="14"/>
    <x v="1"/>
    <x v="9"/>
    <x v="14"/>
    <n v="68.81"/>
  </r>
  <r>
    <n v="16"/>
    <x v="6"/>
    <d v="2016-11-22T00:00:00"/>
    <d v="2016-11-26T00:00:00"/>
    <x v="1"/>
    <x v="6"/>
    <s v="Harold Pawlan"/>
    <x v="2"/>
    <x v="0"/>
    <s v="Fort Worth"/>
    <s v="Texas"/>
    <n v="76106"/>
    <x v="2"/>
    <x v="15"/>
    <x v="1"/>
    <x v="8"/>
    <x v="15"/>
    <n v="2.544"/>
  </r>
  <r>
    <n v="17"/>
    <x v="7"/>
    <d v="2015-11-11T00:00:00"/>
    <d v="2015-11-18T00:00:00"/>
    <x v="1"/>
    <x v="7"/>
    <s v="Pete Kriz"/>
    <x v="0"/>
    <x v="0"/>
    <s v="Madison"/>
    <s v="Wisconsin"/>
    <n v="53711"/>
    <x v="2"/>
    <x v="16"/>
    <x v="1"/>
    <x v="4"/>
    <x v="16"/>
    <n v="665.88"/>
  </r>
  <r>
    <n v="18"/>
    <x v="8"/>
    <d v="2015-05-13T00:00:00"/>
    <d v="2015-05-15T00:00:00"/>
    <x v="0"/>
    <x v="8"/>
    <s v="Alejandro Grove"/>
    <x v="0"/>
    <x v="0"/>
    <s v="West Jordan"/>
    <s v="Utah"/>
    <n v="84084"/>
    <x v="1"/>
    <x v="17"/>
    <x v="1"/>
    <x v="4"/>
    <x v="17"/>
    <n v="55.5"/>
  </r>
  <r>
    <n v="19"/>
    <x v="9"/>
    <d v="2015-08-27T00:00:00"/>
    <d v="2015-09-01T00:00:00"/>
    <x v="0"/>
    <x v="9"/>
    <s v="Zuschuss Donatelli"/>
    <x v="0"/>
    <x v="0"/>
    <s v="San Francisco"/>
    <s v="California"/>
    <n v="94109"/>
    <x v="1"/>
    <x v="18"/>
    <x v="1"/>
    <x v="6"/>
    <x v="18"/>
    <n v="8.56"/>
  </r>
  <r>
    <n v="20"/>
    <x v="9"/>
    <d v="2015-08-27T00:00:00"/>
    <d v="2015-09-01T00:00:00"/>
    <x v="0"/>
    <x v="9"/>
    <s v="Zuschuss Donatelli"/>
    <x v="0"/>
    <x v="0"/>
    <s v="San Francisco"/>
    <s v="California"/>
    <n v="94109"/>
    <x v="1"/>
    <x v="19"/>
    <x v="2"/>
    <x v="7"/>
    <x v="19"/>
    <n v="213.48"/>
  </r>
  <r>
    <n v="21"/>
    <x v="9"/>
    <d v="2015-08-27T00:00:00"/>
    <d v="2015-09-01T00:00:00"/>
    <x v="0"/>
    <x v="9"/>
    <s v="Zuschuss Donatelli"/>
    <x v="0"/>
    <x v="0"/>
    <s v="San Francisco"/>
    <s v="California"/>
    <n v="94109"/>
    <x v="1"/>
    <x v="20"/>
    <x v="1"/>
    <x v="8"/>
    <x v="20"/>
    <n v="22.72"/>
  </r>
  <r>
    <n v="22"/>
    <x v="10"/>
    <d v="2017-12-09T00:00:00"/>
    <d v="2017-12-13T00:00:00"/>
    <x v="1"/>
    <x v="10"/>
    <s v="Ken Black"/>
    <x v="1"/>
    <x v="0"/>
    <s v="Fremont"/>
    <s v="Nebraska"/>
    <n v="68025"/>
    <x v="2"/>
    <x v="21"/>
    <x v="1"/>
    <x v="6"/>
    <x v="21"/>
    <n v="19.46"/>
  </r>
  <r>
    <n v="23"/>
    <x v="10"/>
    <d v="2017-12-09T00:00:00"/>
    <d v="2017-12-13T00:00:00"/>
    <x v="1"/>
    <x v="10"/>
    <s v="Ken Black"/>
    <x v="1"/>
    <x v="0"/>
    <s v="Fremont"/>
    <s v="Nebraska"/>
    <n v="68025"/>
    <x v="2"/>
    <x v="22"/>
    <x v="1"/>
    <x v="9"/>
    <x v="22"/>
    <n v="60.34"/>
  </r>
  <r>
    <n v="24"/>
    <x v="11"/>
    <d v="2018-07-16T00:00:00"/>
    <d v="2018-07-18T00:00:00"/>
    <x v="0"/>
    <x v="11"/>
    <s v="Sandra Flanagan"/>
    <x v="0"/>
    <x v="0"/>
    <s v="Philadelphia"/>
    <s v="Pennsylvania"/>
    <n v="19140"/>
    <x v="3"/>
    <x v="23"/>
    <x v="0"/>
    <x v="1"/>
    <x v="23"/>
    <n v="71.372"/>
  </r>
  <r>
    <n v="25"/>
    <x v="12"/>
    <d v="2016-09-25T00:00:00"/>
    <d v="2016-09-30T00:00:00"/>
    <x v="1"/>
    <x v="12"/>
    <s v="Emily Burns"/>
    <x v="0"/>
    <x v="0"/>
    <s v="Orem"/>
    <s v="Utah"/>
    <n v="84057"/>
    <x v="1"/>
    <x v="3"/>
    <x v="0"/>
    <x v="3"/>
    <x v="3"/>
    <n v="1044.6300000000001"/>
  </r>
  <r>
    <n v="26"/>
    <x v="13"/>
    <d v="2017-01-16T00:00:00"/>
    <d v="2017-01-20T00:00:00"/>
    <x v="0"/>
    <x v="13"/>
    <s v="Eric Hoffmann"/>
    <x v="0"/>
    <x v="0"/>
    <s v="Los Angeles"/>
    <s v="California"/>
    <n v="90049"/>
    <x v="1"/>
    <x v="24"/>
    <x v="1"/>
    <x v="8"/>
    <x v="24"/>
    <n v="11.648"/>
  </r>
  <r>
    <n v="27"/>
    <x v="13"/>
    <d v="2017-01-16T00:00:00"/>
    <d v="2017-01-20T00:00:00"/>
    <x v="0"/>
    <x v="13"/>
    <s v="Eric Hoffmann"/>
    <x v="0"/>
    <x v="0"/>
    <s v="Los Angeles"/>
    <s v="California"/>
    <n v="90049"/>
    <x v="1"/>
    <x v="25"/>
    <x v="2"/>
    <x v="11"/>
    <x v="25"/>
    <n v="90.57"/>
  </r>
  <r>
    <n v="28"/>
    <x v="14"/>
    <d v="2016-09-17T00:00:00"/>
    <d v="2016-09-21T00:00:00"/>
    <x v="1"/>
    <x v="14"/>
    <s v="Tracy Blumstein"/>
    <x v="0"/>
    <x v="0"/>
    <s v="Philadelphia"/>
    <s v="Pennsylvania"/>
    <n v="19140"/>
    <x v="3"/>
    <x v="26"/>
    <x v="0"/>
    <x v="0"/>
    <x v="26"/>
    <n v="3083.43"/>
  </r>
  <r>
    <n v="29"/>
    <x v="14"/>
    <d v="2016-09-17T00:00:00"/>
    <d v="2016-09-21T00:00:00"/>
    <x v="1"/>
    <x v="14"/>
    <s v="Tracy Blumstein"/>
    <x v="0"/>
    <x v="0"/>
    <s v="Philadelphia"/>
    <s v="Pennsylvania"/>
    <n v="19140"/>
    <x v="3"/>
    <x v="27"/>
    <x v="1"/>
    <x v="8"/>
    <x v="27"/>
    <n v="9.6180000000000003"/>
  </r>
  <r>
    <n v="30"/>
    <x v="14"/>
    <d v="2016-09-17T00:00:00"/>
    <d v="2016-09-21T00:00:00"/>
    <x v="1"/>
    <x v="14"/>
    <s v="Tracy Blumstein"/>
    <x v="0"/>
    <x v="0"/>
    <s v="Philadelphia"/>
    <s v="Pennsylvania"/>
    <n v="19140"/>
    <x v="3"/>
    <x v="28"/>
    <x v="0"/>
    <x v="5"/>
    <x v="28"/>
    <n v="124.2"/>
  </r>
  <r>
    <n v="31"/>
    <x v="14"/>
    <d v="2016-09-17T00:00:00"/>
    <d v="2016-09-21T00:00:00"/>
    <x v="1"/>
    <x v="14"/>
    <s v="Tracy Blumstein"/>
    <x v="0"/>
    <x v="0"/>
    <s v="Philadelphia"/>
    <s v="Pennsylvania"/>
    <n v="19140"/>
    <x v="3"/>
    <x v="29"/>
    <x v="1"/>
    <x v="12"/>
    <x v="29"/>
    <n v="3.2639999999999998"/>
  </r>
  <r>
    <n v="32"/>
    <x v="14"/>
    <d v="2016-09-17T00:00:00"/>
    <d v="2016-09-21T00:00:00"/>
    <x v="1"/>
    <x v="14"/>
    <s v="Tracy Blumstein"/>
    <x v="0"/>
    <x v="0"/>
    <s v="Philadelphia"/>
    <s v="Pennsylvania"/>
    <n v="19140"/>
    <x v="3"/>
    <x v="30"/>
    <x v="1"/>
    <x v="6"/>
    <x v="30"/>
    <n v="86.304000000000002"/>
  </r>
  <r>
    <n v="33"/>
    <x v="14"/>
    <d v="2016-09-17T00:00:00"/>
    <d v="2016-09-21T00:00:00"/>
    <x v="1"/>
    <x v="14"/>
    <s v="Tracy Blumstein"/>
    <x v="0"/>
    <x v="0"/>
    <s v="Philadelphia"/>
    <s v="Pennsylvania"/>
    <n v="19140"/>
    <x v="3"/>
    <x v="31"/>
    <x v="1"/>
    <x v="8"/>
    <x v="31"/>
    <n v="6.8579999999999997"/>
  </r>
  <r>
    <n v="34"/>
    <x v="14"/>
    <d v="2016-09-17T00:00:00"/>
    <d v="2016-09-21T00:00:00"/>
    <x v="1"/>
    <x v="14"/>
    <s v="Tracy Blumstein"/>
    <x v="0"/>
    <x v="0"/>
    <s v="Philadelphia"/>
    <s v="Pennsylvania"/>
    <n v="19140"/>
    <x v="3"/>
    <x v="32"/>
    <x v="1"/>
    <x v="6"/>
    <x v="32"/>
    <n v="15.76"/>
  </r>
  <r>
    <n v="35"/>
    <x v="15"/>
    <d v="2018-10-19T00:00:00"/>
    <d v="2018-10-23T00:00:00"/>
    <x v="0"/>
    <x v="15"/>
    <s v="Matt Abelman"/>
    <x v="2"/>
    <x v="0"/>
    <s v="Houston"/>
    <s v="Texas"/>
    <n v="77095"/>
    <x v="2"/>
    <x v="33"/>
    <x v="1"/>
    <x v="10"/>
    <x v="33"/>
    <n v="29.472000000000001"/>
  </r>
  <r>
    <n v="36"/>
    <x v="16"/>
    <d v="2017-12-08T00:00:00"/>
    <d v="2017-12-10T00:00:00"/>
    <x v="2"/>
    <x v="16"/>
    <s v="Gene Hale"/>
    <x v="1"/>
    <x v="0"/>
    <s v="Richardson"/>
    <s v="Texas"/>
    <n v="75080"/>
    <x v="2"/>
    <x v="34"/>
    <x v="2"/>
    <x v="7"/>
    <x v="34"/>
    <n v="1097.5440000000001"/>
  </r>
  <r>
    <n v="37"/>
    <x v="16"/>
    <d v="2017-12-08T00:00:00"/>
    <d v="2017-12-10T00:00:00"/>
    <x v="2"/>
    <x v="16"/>
    <s v="Gene Hale"/>
    <x v="1"/>
    <x v="0"/>
    <s v="Richardson"/>
    <s v="Texas"/>
    <n v="75080"/>
    <x v="2"/>
    <x v="35"/>
    <x v="0"/>
    <x v="5"/>
    <x v="35"/>
    <n v="190.92"/>
  </r>
  <r>
    <n v="38"/>
    <x v="17"/>
    <d v="2016-12-27T00:00:00"/>
    <d v="2016-12-31T00:00:00"/>
    <x v="1"/>
    <x v="17"/>
    <s v="Steve Nguyen"/>
    <x v="2"/>
    <x v="0"/>
    <s v="Houston"/>
    <s v="Texas"/>
    <n v="77041"/>
    <x v="2"/>
    <x v="36"/>
    <x v="1"/>
    <x v="12"/>
    <x v="36"/>
    <n v="113.328"/>
  </r>
  <r>
    <n v="39"/>
    <x v="17"/>
    <d v="2016-12-27T00:00:00"/>
    <d v="2016-12-31T00:00:00"/>
    <x v="1"/>
    <x v="17"/>
    <s v="Steve Nguyen"/>
    <x v="2"/>
    <x v="0"/>
    <s v="Houston"/>
    <s v="Texas"/>
    <n v="77041"/>
    <x v="2"/>
    <x v="37"/>
    <x v="0"/>
    <x v="0"/>
    <x v="37"/>
    <n v="532.39919999999995"/>
  </r>
  <r>
    <n v="40"/>
    <x v="17"/>
    <d v="2016-12-27T00:00:00"/>
    <d v="2016-12-31T00:00:00"/>
    <x v="1"/>
    <x v="17"/>
    <s v="Steve Nguyen"/>
    <x v="2"/>
    <x v="0"/>
    <s v="Houston"/>
    <s v="Texas"/>
    <n v="77041"/>
    <x v="2"/>
    <x v="38"/>
    <x v="0"/>
    <x v="1"/>
    <x v="38"/>
    <n v="212.05799999999999"/>
  </r>
  <r>
    <n v="41"/>
    <x v="17"/>
    <d v="2016-12-27T00:00:00"/>
    <d v="2016-12-31T00:00:00"/>
    <x v="1"/>
    <x v="17"/>
    <s v="Steve Nguyen"/>
    <x v="2"/>
    <x v="0"/>
    <s v="Houston"/>
    <s v="Texas"/>
    <n v="77041"/>
    <x v="2"/>
    <x v="39"/>
    <x v="2"/>
    <x v="7"/>
    <x v="39"/>
    <n v="371.16800000000001"/>
  </r>
  <r>
    <n v="42"/>
    <x v="18"/>
    <d v="2018-09-10T00:00:00"/>
    <d v="2018-09-15T00:00:00"/>
    <x v="1"/>
    <x v="18"/>
    <s v="Linda Cazamias"/>
    <x v="1"/>
    <x v="0"/>
    <s v="Naperville"/>
    <s v="Illinois"/>
    <n v="60540"/>
    <x v="2"/>
    <x v="40"/>
    <x v="2"/>
    <x v="7"/>
    <x v="40"/>
    <n v="147.16800000000001"/>
  </r>
  <r>
    <n v="43"/>
    <x v="19"/>
    <d v="2017-07-17T00:00:00"/>
    <d v="2017-07-22T00:00:00"/>
    <x v="1"/>
    <x v="19"/>
    <s v="Ruben Ausman"/>
    <x v="1"/>
    <x v="0"/>
    <s v="Los Angeles"/>
    <s v="California"/>
    <n v="90049"/>
    <x v="1"/>
    <x v="41"/>
    <x v="1"/>
    <x v="4"/>
    <x v="41"/>
    <n v="77.88"/>
  </r>
  <r>
    <n v="44"/>
    <x v="20"/>
    <d v="2018-09-19T00:00:00"/>
    <d v="2018-09-23T00:00:00"/>
    <x v="1"/>
    <x v="20"/>
    <s v="Erin Smith"/>
    <x v="1"/>
    <x v="0"/>
    <s v="Melbourne"/>
    <s v="Florida"/>
    <n v="32935"/>
    <x v="0"/>
    <x v="42"/>
    <x v="1"/>
    <x v="4"/>
    <x v="42"/>
    <n v="95.616"/>
  </r>
  <r>
    <n v="45"/>
    <x v="21"/>
    <d v="2017-03-11T00:00:00"/>
    <d v="2017-03-13T00:00:00"/>
    <x v="2"/>
    <x v="21"/>
    <s v="Odella Nelson"/>
    <x v="1"/>
    <x v="0"/>
    <s v="Eagan"/>
    <s v="Minnesota"/>
    <n v="55122"/>
    <x v="2"/>
    <x v="43"/>
    <x v="2"/>
    <x v="11"/>
    <x v="43"/>
    <n v="45.98"/>
  </r>
  <r>
    <n v="46"/>
    <x v="21"/>
    <d v="2017-03-11T00:00:00"/>
    <d v="2017-03-13T00:00:00"/>
    <x v="2"/>
    <x v="21"/>
    <s v="Odella Nelson"/>
    <x v="1"/>
    <x v="0"/>
    <s v="Eagan"/>
    <s v="Minnesota"/>
    <n v="55122"/>
    <x v="2"/>
    <x v="44"/>
    <x v="1"/>
    <x v="8"/>
    <x v="44"/>
    <n v="17.46"/>
  </r>
  <r>
    <n v="47"/>
    <x v="22"/>
    <d v="2015-10-20T00:00:00"/>
    <d v="2015-10-25T00:00:00"/>
    <x v="0"/>
    <x v="22"/>
    <s v="Patrick O'Donnell"/>
    <x v="0"/>
    <x v="0"/>
    <s v="Westland"/>
    <s v="Michigan"/>
    <n v="48185"/>
    <x v="2"/>
    <x v="45"/>
    <x v="1"/>
    <x v="4"/>
    <x v="45"/>
    <n v="211.96"/>
  </r>
  <r>
    <n v="48"/>
    <x v="23"/>
    <d v="2017-06-20T00:00:00"/>
    <d v="2017-06-25T00:00:00"/>
    <x v="1"/>
    <x v="23"/>
    <s v="Lena Hernandez"/>
    <x v="0"/>
    <x v="0"/>
    <s v="Dover"/>
    <s v="Delaware"/>
    <n v="19901"/>
    <x v="3"/>
    <x v="46"/>
    <x v="2"/>
    <x v="11"/>
    <x v="46"/>
    <n v="45"/>
  </r>
  <r>
    <n v="49"/>
    <x v="23"/>
    <d v="2017-06-20T00:00:00"/>
    <d v="2017-06-25T00:00:00"/>
    <x v="1"/>
    <x v="23"/>
    <s v="Lena Hernandez"/>
    <x v="0"/>
    <x v="0"/>
    <s v="Dover"/>
    <s v="Delaware"/>
    <n v="19901"/>
    <x v="3"/>
    <x v="47"/>
    <x v="2"/>
    <x v="7"/>
    <x v="47"/>
    <n v="21.8"/>
  </r>
  <r>
    <n v="50"/>
    <x v="24"/>
    <d v="2016-04-18T00:00:00"/>
    <d v="2016-04-22T00:00:00"/>
    <x v="1"/>
    <x v="24"/>
    <s v="Darren Powers"/>
    <x v="0"/>
    <x v="0"/>
    <s v="New Albany"/>
    <s v="Indiana"/>
    <n v="47150"/>
    <x v="2"/>
    <x v="48"/>
    <x v="1"/>
    <x v="8"/>
    <x v="48"/>
    <n v="38.22"/>
  </r>
  <r>
    <n v="51"/>
    <x v="24"/>
    <d v="2016-04-18T00:00:00"/>
    <d v="2016-04-22T00:00:00"/>
    <x v="1"/>
    <x v="24"/>
    <s v="Darren Powers"/>
    <x v="0"/>
    <x v="0"/>
    <s v="New Albany"/>
    <s v="Indiana"/>
    <n v="47150"/>
    <x v="2"/>
    <x v="49"/>
    <x v="1"/>
    <x v="2"/>
    <x v="49"/>
    <n v="75.180000000000007"/>
  </r>
  <r>
    <n v="52"/>
    <x v="24"/>
    <d v="2016-04-18T00:00:00"/>
    <d v="2016-04-22T00:00:00"/>
    <x v="1"/>
    <x v="24"/>
    <s v="Darren Powers"/>
    <x v="0"/>
    <x v="0"/>
    <s v="New Albany"/>
    <s v="Indiana"/>
    <n v="47150"/>
    <x v="2"/>
    <x v="50"/>
    <x v="0"/>
    <x v="5"/>
    <x v="50"/>
    <n v="6.16"/>
  </r>
  <r>
    <n v="53"/>
    <x v="24"/>
    <d v="2016-04-18T00:00:00"/>
    <d v="2016-04-22T00:00:00"/>
    <x v="1"/>
    <x v="24"/>
    <s v="Darren Powers"/>
    <x v="0"/>
    <x v="0"/>
    <s v="New Albany"/>
    <s v="Indiana"/>
    <n v="47150"/>
    <x v="2"/>
    <x v="51"/>
    <x v="0"/>
    <x v="1"/>
    <x v="51"/>
    <n v="89.99"/>
  </r>
  <r>
    <n v="54"/>
    <x v="25"/>
    <d v="2017-12-11T00:00:00"/>
    <d v="2017-12-17T00:00:00"/>
    <x v="1"/>
    <x v="25"/>
    <s v="Janet Molinari"/>
    <x v="1"/>
    <x v="0"/>
    <s v="New York City"/>
    <s v="New York"/>
    <n v="10024"/>
    <x v="3"/>
    <x v="52"/>
    <x v="1"/>
    <x v="13"/>
    <x v="52"/>
    <n v="15.26"/>
  </r>
  <r>
    <n v="55"/>
    <x v="25"/>
    <d v="2017-12-11T00:00:00"/>
    <d v="2017-12-17T00:00:00"/>
    <x v="1"/>
    <x v="25"/>
    <s v="Janet Molinari"/>
    <x v="1"/>
    <x v="0"/>
    <s v="New York City"/>
    <s v="New York"/>
    <n v="10024"/>
    <x v="3"/>
    <x v="53"/>
    <x v="2"/>
    <x v="7"/>
    <x v="53"/>
    <n v="1029.95"/>
  </r>
  <r>
    <n v="56"/>
    <x v="26"/>
    <d v="2017-06-17T00:00:00"/>
    <d v="2017-06-18T00:00:00"/>
    <x v="2"/>
    <x v="26"/>
    <s v="Ted Butterfield"/>
    <x v="0"/>
    <x v="0"/>
    <s v="Troy"/>
    <s v="New York"/>
    <n v="12180"/>
    <x v="3"/>
    <x v="54"/>
    <x v="1"/>
    <x v="4"/>
    <x v="54"/>
    <n v="208.56"/>
  </r>
  <r>
    <n v="57"/>
    <x v="26"/>
    <d v="2017-06-17T00:00:00"/>
    <d v="2017-06-18T00:00:00"/>
    <x v="2"/>
    <x v="26"/>
    <s v="Ted Butterfield"/>
    <x v="0"/>
    <x v="0"/>
    <s v="Troy"/>
    <s v="New York"/>
    <n v="12180"/>
    <x v="3"/>
    <x v="55"/>
    <x v="1"/>
    <x v="10"/>
    <x v="55"/>
    <n v="32.4"/>
  </r>
  <r>
    <n v="58"/>
    <x v="26"/>
    <d v="2017-06-17T00:00:00"/>
    <d v="2017-06-18T00:00:00"/>
    <x v="2"/>
    <x v="26"/>
    <s v="Ted Butterfield"/>
    <x v="0"/>
    <x v="0"/>
    <s v="Troy"/>
    <s v="New York"/>
    <n v="12180"/>
    <x v="3"/>
    <x v="56"/>
    <x v="0"/>
    <x v="1"/>
    <x v="56"/>
    <n v="319.41000000000003"/>
  </r>
  <r>
    <n v="59"/>
    <x v="26"/>
    <d v="2017-06-17T00:00:00"/>
    <d v="2017-06-18T00:00:00"/>
    <x v="2"/>
    <x v="26"/>
    <s v="Ted Butterfield"/>
    <x v="0"/>
    <x v="0"/>
    <s v="Troy"/>
    <s v="New York"/>
    <n v="12180"/>
    <x v="3"/>
    <x v="57"/>
    <x v="1"/>
    <x v="10"/>
    <x v="57"/>
    <n v="14.56"/>
  </r>
  <r>
    <n v="60"/>
    <x v="26"/>
    <d v="2017-06-17T00:00:00"/>
    <d v="2017-06-18T00:00:00"/>
    <x v="2"/>
    <x v="26"/>
    <s v="Ted Butterfield"/>
    <x v="0"/>
    <x v="0"/>
    <s v="Troy"/>
    <s v="New York"/>
    <n v="12180"/>
    <x v="3"/>
    <x v="46"/>
    <x v="2"/>
    <x v="11"/>
    <x v="46"/>
    <n v="30"/>
  </r>
  <r>
    <n v="61"/>
    <x v="26"/>
    <d v="2017-06-17T00:00:00"/>
    <d v="2017-06-18T00:00:00"/>
    <x v="2"/>
    <x v="26"/>
    <s v="Ted Butterfield"/>
    <x v="0"/>
    <x v="0"/>
    <s v="Troy"/>
    <s v="New York"/>
    <n v="12180"/>
    <x v="3"/>
    <x v="58"/>
    <x v="1"/>
    <x v="8"/>
    <x v="58"/>
    <n v="48.48"/>
  </r>
  <r>
    <n v="62"/>
    <x v="26"/>
    <d v="2017-06-17T00:00:00"/>
    <d v="2017-06-18T00:00:00"/>
    <x v="2"/>
    <x v="26"/>
    <s v="Ted Butterfield"/>
    <x v="0"/>
    <x v="0"/>
    <s v="Troy"/>
    <s v="New York"/>
    <n v="12180"/>
    <x v="3"/>
    <x v="59"/>
    <x v="1"/>
    <x v="6"/>
    <x v="59"/>
    <n v="1.68"/>
  </r>
  <r>
    <n v="63"/>
    <x v="27"/>
    <d v="2016-11-24T00:00:00"/>
    <d v="2016-11-30T00:00:00"/>
    <x v="1"/>
    <x v="27"/>
    <s v="Kunst Miller"/>
    <x v="0"/>
    <x v="0"/>
    <s v="Los Angeles"/>
    <s v="California"/>
    <n v="90004"/>
    <x v="1"/>
    <x v="60"/>
    <x v="2"/>
    <x v="11"/>
    <x v="60"/>
    <n v="13.98"/>
  </r>
  <r>
    <n v="64"/>
    <x v="27"/>
    <d v="2016-11-24T00:00:00"/>
    <d v="2016-11-30T00:00:00"/>
    <x v="1"/>
    <x v="27"/>
    <s v="Kunst Miller"/>
    <x v="0"/>
    <x v="0"/>
    <s v="Los Angeles"/>
    <s v="California"/>
    <n v="90004"/>
    <x v="1"/>
    <x v="61"/>
    <x v="1"/>
    <x v="8"/>
    <x v="61"/>
    <n v="25.824000000000002"/>
  </r>
  <r>
    <n v="65"/>
    <x v="27"/>
    <d v="2016-11-24T00:00:00"/>
    <d v="2016-11-30T00:00:00"/>
    <x v="1"/>
    <x v="27"/>
    <s v="Kunst Miller"/>
    <x v="0"/>
    <x v="0"/>
    <s v="Los Angeles"/>
    <s v="California"/>
    <n v="90004"/>
    <x v="1"/>
    <x v="62"/>
    <x v="1"/>
    <x v="10"/>
    <x v="62"/>
    <n v="146.72999999999999"/>
  </r>
  <r>
    <n v="66"/>
    <x v="27"/>
    <d v="2016-11-24T00:00:00"/>
    <d v="2016-11-30T00:00:00"/>
    <x v="1"/>
    <x v="27"/>
    <s v="Kunst Miller"/>
    <x v="0"/>
    <x v="0"/>
    <s v="Los Angeles"/>
    <s v="California"/>
    <n v="90004"/>
    <x v="1"/>
    <x v="63"/>
    <x v="0"/>
    <x v="5"/>
    <x v="63"/>
    <n v="79.760000000000005"/>
  </r>
  <r>
    <n v="67"/>
    <x v="28"/>
    <d v="2016-04-30T00:00:00"/>
    <d v="2016-05-05T00:00:00"/>
    <x v="1"/>
    <x v="28"/>
    <s v="Paul Stevenson"/>
    <x v="2"/>
    <x v="0"/>
    <s v="Chicago"/>
    <s v="Illinois"/>
    <n v="60610"/>
    <x v="2"/>
    <x v="64"/>
    <x v="0"/>
    <x v="1"/>
    <x v="64"/>
    <n v="213.11500000000001"/>
  </r>
  <r>
    <n v="68"/>
    <x v="29"/>
    <d v="2015-12-05T00:00:00"/>
    <d v="2015-12-10T00:00:00"/>
    <x v="1"/>
    <x v="29"/>
    <s v="Brendan Sweed"/>
    <x v="1"/>
    <x v="0"/>
    <s v="Gilbert"/>
    <s v="Arizona"/>
    <n v="85234"/>
    <x v="1"/>
    <x v="65"/>
    <x v="1"/>
    <x v="6"/>
    <x v="65"/>
    <n v="1113.0239999999999"/>
  </r>
  <r>
    <n v="69"/>
    <x v="29"/>
    <d v="2015-12-05T00:00:00"/>
    <d v="2015-12-10T00:00:00"/>
    <x v="1"/>
    <x v="29"/>
    <s v="Brendan Sweed"/>
    <x v="1"/>
    <x v="0"/>
    <s v="Gilbert"/>
    <s v="Arizona"/>
    <n v="85234"/>
    <x v="1"/>
    <x v="66"/>
    <x v="2"/>
    <x v="7"/>
    <x v="66"/>
    <n v="167.96799999999999"/>
  </r>
  <r>
    <n v="70"/>
    <x v="30"/>
    <d v="2017-06-04T00:00:00"/>
    <d v="2017-06-06T00:00:00"/>
    <x v="2"/>
    <x v="30"/>
    <s v="Karen Daniels"/>
    <x v="0"/>
    <x v="0"/>
    <s v="Springfield"/>
    <s v="Virginia"/>
    <n v="22153"/>
    <x v="0"/>
    <x v="67"/>
    <x v="1"/>
    <x v="10"/>
    <x v="67"/>
    <n v="75.88"/>
  </r>
  <r>
    <n v="71"/>
    <x v="31"/>
    <d v="2017-09-18T00:00:00"/>
    <d v="2017-09-23T00:00:00"/>
    <x v="1"/>
    <x v="31"/>
    <s v="Henry MacAllister"/>
    <x v="0"/>
    <x v="0"/>
    <s v="New York City"/>
    <s v="New York"/>
    <n v="10009"/>
    <x v="3"/>
    <x v="68"/>
    <x v="1"/>
    <x v="8"/>
    <x v="68"/>
    <n v="4.6159999999999997"/>
  </r>
  <r>
    <n v="72"/>
    <x v="32"/>
    <d v="2018-09-14T00:00:00"/>
    <d v="2018-09-17T00:00:00"/>
    <x v="0"/>
    <x v="14"/>
    <s v="Tracy Blumstein"/>
    <x v="0"/>
    <x v="0"/>
    <s v="Jackson"/>
    <s v="Michigan"/>
    <n v="49201"/>
    <x v="2"/>
    <x v="69"/>
    <x v="1"/>
    <x v="10"/>
    <x v="69"/>
    <n v="19.05"/>
  </r>
  <r>
    <n v="73"/>
    <x v="33"/>
    <d v="2016-04-26T00:00:00"/>
    <d v="2016-05-02T00:00:00"/>
    <x v="1"/>
    <x v="32"/>
    <s v="Joel Eaton"/>
    <x v="0"/>
    <x v="0"/>
    <s v="Memphis"/>
    <s v="Tennessee"/>
    <n v="38109"/>
    <x v="0"/>
    <x v="70"/>
    <x v="0"/>
    <x v="1"/>
    <x v="70"/>
    <n v="831.93600000000004"/>
  </r>
  <r>
    <n v="74"/>
    <x v="33"/>
    <d v="2016-04-26T00:00:00"/>
    <d v="2016-05-02T00:00:00"/>
    <x v="1"/>
    <x v="32"/>
    <s v="Joel Eaton"/>
    <x v="0"/>
    <x v="0"/>
    <s v="Memphis"/>
    <s v="Tennessee"/>
    <n v="38109"/>
    <x v="0"/>
    <x v="71"/>
    <x v="0"/>
    <x v="5"/>
    <x v="71"/>
    <n v="97.04"/>
  </r>
  <r>
    <n v="75"/>
    <x v="33"/>
    <d v="2016-04-26T00:00:00"/>
    <d v="2016-05-02T00:00:00"/>
    <x v="1"/>
    <x v="32"/>
    <s v="Joel Eaton"/>
    <x v="0"/>
    <x v="0"/>
    <s v="Memphis"/>
    <s v="Tennessee"/>
    <n v="38109"/>
    <x v="0"/>
    <x v="72"/>
    <x v="1"/>
    <x v="4"/>
    <x v="72"/>
    <n v="72.784000000000006"/>
  </r>
  <r>
    <n v="76"/>
    <x v="34"/>
    <d v="2018-12-09T00:00:00"/>
    <d v="2018-12-11T00:00:00"/>
    <x v="2"/>
    <x v="33"/>
    <s v="Ken Brennan"/>
    <x v="1"/>
    <x v="0"/>
    <s v="Houston"/>
    <s v="Texas"/>
    <n v="77041"/>
    <x v="2"/>
    <x v="73"/>
    <x v="1"/>
    <x v="8"/>
    <x v="73"/>
    <n v="1.248"/>
  </r>
  <r>
    <n v="77"/>
    <x v="34"/>
    <d v="2018-12-09T00:00:00"/>
    <d v="2018-12-11T00:00:00"/>
    <x v="2"/>
    <x v="33"/>
    <s v="Ken Brennan"/>
    <x v="1"/>
    <x v="0"/>
    <s v="Houston"/>
    <s v="Texas"/>
    <n v="77041"/>
    <x v="2"/>
    <x v="74"/>
    <x v="0"/>
    <x v="5"/>
    <x v="74"/>
    <n v="9.7080000000000002"/>
  </r>
  <r>
    <n v="78"/>
    <x v="34"/>
    <d v="2018-12-09T00:00:00"/>
    <d v="2018-12-11T00:00:00"/>
    <x v="2"/>
    <x v="33"/>
    <s v="Ken Brennan"/>
    <x v="1"/>
    <x v="0"/>
    <s v="Houston"/>
    <s v="Texas"/>
    <n v="77041"/>
    <x v="2"/>
    <x v="75"/>
    <x v="1"/>
    <x v="4"/>
    <x v="75"/>
    <n v="27.24"/>
  </r>
  <r>
    <n v="79"/>
    <x v="35"/>
    <d v="2015-11-26T00:00:00"/>
    <d v="2015-12-01T00:00:00"/>
    <x v="0"/>
    <x v="32"/>
    <s v="Joel Eaton"/>
    <x v="0"/>
    <x v="0"/>
    <s v="Houston"/>
    <s v="Texas"/>
    <n v="77070"/>
    <x v="2"/>
    <x v="76"/>
    <x v="0"/>
    <x v="5"/>
    <x v="76"/>
    <n v="19.3"/>
  </r>
  <r>
    <n v="80"/>
    <x v="36"/>
    <d v="2017-06-12T00:00:00"/>
    <d v="2017-06-15T00:00:00"/>
    <x v="2"/>
    <x v="34"/>
    <s v="Stewart Carmichael"/>
    <x v="1"/>
    <x v="0"/>
    <s v="Decatur"/>
    <s v="Alabama"/>
    <n v="35601"/>
    <x v="0"/>
    <x v="77"/>
    <x v="1"/>
    <x v="9"/>
    <x v="77"/>
    <n v="208.16"/>
  </r>
  <r>
    <n v="81"/>
    <x v="36"/>
    <d v="2017-06-12T00:00:00"/>
    <d v="2017-06-15T00:00:00"/>
    <x v="2"/>
    <x v="34"/>
    <s v="Stewart Carmichael"/>
    <x v="1"/>
    <x v="0"/>
    <s v="Decatur"/>
    <s v="Alabama"/>
    <n v="35601"/>
    <x v="0"/>
    <x v="78"/>
    <x v="1"/>
    <x v="8"/>
    <x v="78"/>
    <n v="16.739999999999998"/>
  </r>
  <r>
    <n v="82"/>
    <x v="37"/>
    <d v="2015-10-12T00:00:00"/>
    <d v="2015-10-16T00:00:00"/>
    <x v="1"/>
    <x v="35"/>
    <s v="Duane Noonan"/>
    <x v="0"/>
    <x v="0"/>
    <s v="San Francisco"/>
    <s v="California"/>
    <n v="94122"/>
    <x v="1"/>
    <x v="79"/>
    <x v="1"/>
    <x v="6"/>
    <x v="79"/>
    <n v="14.9"/>
  </r>
  <r>
    <n v="83"/>
    <x v="37"/>
    <d v="2015-10-12T00:00:00"/>
    <d v="2015-10-16T00:00:00"/>
    <x v="1"/>
    <x v="35"/>
    <s v="Duane Noonan"/>
    <x v="0"/>
    <x v="0"/>
    <s v="San Francisco"/>
    <s v="California"/>
    <n v="94122"/>
    <x v="1"/>
    <x v="80"/>
    <x v="1"/>
    <x v="4"/>
    <x v="80"/>
    <n v="21.39"/>
  </r>
  <r>
    <n v="84"/>
    <x v="38"/>
    <d v="2016-09-03T00:00:00"/>
    <d v="2016-09-08T00:00:00"/>
    <x v="1"/>
    <x v="36"/>
    <s v="Julie Creighton"/>
    <x v="1"/>
    <x v="0"/>
    <s v="Durham"/>
    <s v="North Carolina"/>
    <n v="27707"/>
    <x v="0"/>
    <x v="81"/>
    <x v="1"/>
    <x v="12"/>
    <x v="81"/>
    <n v="200.98400000000001"/>
  </r>
  <r>
    <n v="85"/>
    <x v="39"/>
    <d v="2018-11-13T00:00:00"/>
    <d v="2018-11-16T00:00:00"/>
    <x v="2"/>
    <x v="37"/>
    <s v="Christopher Schild"/>
    <x v="2"/>
    <x v="0"/>
    <s v="Chicago"/>
    <s v="Illinois"/>
    <n v="60623"/>
    <x v="2"/>
    <x v="82"/>
    <x v="1"/>
    <x v="4"/>
    <x v="82"/>
    <n v="230.376"/>
  </r>
  <r>
    <n v="86"/>
    <x v="40"/>
    <d v="2018-05-28T00:00:00"/>
    <d v="2018-05-30T00:00:00"/>
    <x v="0"/>
    <x v="22"/>
    <s v="Patrick O'Donnell"/>
    <x v="0"/>
    <x v="0"/>
    <s v="Columbia"/>
    <s v="South Carolina"/>
    <n v="29203"/>
    <x v="0"/>
    <x v="83"/>
    <x v="0"/>
    <x v="1"/>
    <x v="83"/>
    <n v="301.95999999999998"/>
  </r>
  <r>
    <n v="87"/>
    <x v="41"/>
    <d v="2018-10-26T00:00:00"/>
    <d v="2018-11-02T00:00:00"/>
    <x v="1"/>
    <x v="38"/>
    <s v="Paul Gonzalez"/>
    <x v="0"/>
    <x v="0"/>
    <s v="Rochester"/>
    <s v="Minnesota"/>
    <n v="55901"/>
    <x v="2"/>
    <x v="84"/>
    <x v="2"/>
    <x v="11"/>
    <x v="84"/>
    <n v="19.989999999999998"/>
  </r>
  <r>
    <n v="88"/>
    <x v="41"/>
    <d v="2018-10-26T00:00:00"/>
    <d v="2018-11-02T00:00:00"/>
    <x v="1"/>
    <x v="38"/>
    <s v="Paul Gonzalez"/>
    <x v="0"/>
    <x v="0"/>
    <s v="Rochester"/>
    <s v="Minnesota"/>
    <n v="55901"/>
    <x v="2"/>
    <x v="85"/>
    <x v="1"/>
    <x v="2"/>
    <x v="85"/>
    <n v="6.16"/>
  </r>
  <r>
    <n v="89"/>
    <x v="42"/>
    <d v="2017-04-05T00:00:00"/>
    <d v="2017-04-10T00:00:00"/>
    <x v="0"/>
    <x v="39"/>
    <s v="Gary Mitchum"/>
    <x v="2"/>
    <x v="0"/>
    <s v="Houston"/>
    <s v="Texas"/>
    <n v="77095"/>
    <x v="2"/>
    <x v="86"/>
    <x v="1"/>
    <x v="4"/>
    <x v="86"/>
    <n v="158.36799999999999"/>
  </r>
  <r>
    <n v="90"/>
    <x v="43"/>
    <d v="2017-09-17T00:00:00"/>
    <d v="2017-09-22T00:00:00"/>
    <x v="1"/>
    <x v="40"/>
    <s v="Jim Sink"/>
    <x v="1"/>
    <x v="0"/>
    <s v="Los Angeles"/>
    <s v="California"/>
    <n v="90036"/>
    <x v="1"/>
    <x v="87"/>
    <x v="1"/>
    <x v="6"/>
    <x v="87"/>
    <n v="20.100000000000001"/>
  </r>
  <r>
    <n v="91"/>
    <x v="43"/>
    <d v="2017-09-17T00:00:00"/>
    <d v="2017-09-22T00:00:00"/>
    <x v="1"/>
    <x v="40"/>
    <s v="Jim Sink"/>
    <x v="1"/>
    <x v="0"/>
    <s v="Los Angeles"/>
    <s v="California"/>
    <n v="90036"/>
    <x v="1"/>
    <x v="40"/>
    <x v="2"/>
    <x v="7"/>
    <x v="40"/>
    <n v="73.584000000000003"/>
  </r>
  <r>
    <n v="92"/>
    <x v="43"/>
    <d v="2017-09-17T00:00:00"/>
    <d v="2017-09-22T00:00:00"/>
    <x v="1"/>
    <x v="40"/>
    <s v="Jim Sink"/>
    <x v="1"/>
    <x v="0"/>
    <s v="Los Angeles"/>
    <s v="California"/>
    <n v="90036"/>
    <x v="1"/>
    <x v="88"/>
    <x v="1"/>
    <x v="10"/>
    <x v="88"/>
    <n v="6.48"/>
  </r>
  <r>
    <n v="93"/>
    <x v="44"/>
    <d v="2016-01-31T00:00:00"/>
    <d v="2016-02-05T00:00:00"/>
    <x v="0"/>
    <x v="41"/>
    <s v="Karl Braun"/>
    <x v="0"/>
    <x v="0"/>
    <s v="Minneapolis"/>
    <s v="Minnesota"/>
    <n v="55407"/>
    <x v="2"/>
    <x v="89"/>
    <x v="1"/>
    <x v="10"/>
    <x v="89"/>
    <n v="12.96"/>
  </r>
  <r>
    <n v="94"/>
    <x v="44"/>
    <d v="2016-01-31T00:00:00"/>
    <d v="2016-02-05T00:00:00"/>
    <x v="0"/>
    <x v="41"/>
    <s v="Karl Braun"/>
    <x v="0"/>
    <x v="0"/>
    <s v="Minneapolis"/>
    <s v="Minnesota"/>
    <n v="55407"/>
    <x v="2"/>
    <x v="90"/>
    <x v="0"/>
    <x v="5"/>
    <x v="90"/>
    <n v="53.34"/>
  </r>
  <r>
    <n v="95"/>
    <x v="44"/>
    <d v="2016-01-31T00:00:00"/>
    <d v="2016-02-05T00:00:00"/>
    <x v="0"/>
    <x v="41"/>
    <s v="Karl Braun"/>
    <x v="0"/>
    <x v="0"/>
    <s v="Minneapolis"/>
    <s v="Minnesota"/>
    <n v="55407"/>
    <x v="2"/>
    <x v="91"/>
    <x v="1"/>
    <x v="8"/>
    <x v="91"/>
    <n v="32.96"/>
  </r>
  <r>
    <n v="96"/>
    <x v="45"/>
    <d v="2018-11-06T00:00:00"/>
    <d v="2018-11-12T00:00:00"/>
    <x v="1"/>
    <x v="42"/>
    <s v="Roger Barcio"/>
    <x v="2"/>
    <x v="0"/>
    <s v="Portland"/>
    <s v="Oregon"/>
    <n v="97206"/>
    <x v="1"/>
    <x v="92"/>
    <x v="1"/>
    <x v="8"/>
    <x v="92"/>
    <n v="5.6820000000000004"/>
  </r>
  <r>
    <n v="97"/>
    <x v="46"/>
    <d v="2018-11-09T00:00:00"/>
    <d v="2018-11-11T00:00:00"/>
    <x v="0"/>
    <x v="43"/>
    <s v="Parhena Norris"/>
    <x v="2"/>
    <x v="0"/>
    <s v="New York City"/>
    <s v="New York"/>
    <n v="10009"/>
    <x v="3"/>
    <x v="93"/>
    <x v="0"/>
    <x v="5"/>
    <x v="93"/>
    <n v="96.53"/>
  </r>
  <r>
    <n v="98"/>
    <x v="47"/>
    <d v="2018-06-17T00:00:00"/>
    <d v="2018-06-20T00:00:00"/>
    <x v="2"/>
    <x v="44"/>
    <s v="Katherine Ducich"/>
    <x v="0"/>
    <x v="0"/>
    <s v="San Francisco"/>
    <s v="California"/>
    <n v="94122"/>
    <x v="1"/>
    <x v="94"/>
    <x v="1"/>
    <x v="8"/>
    <x v="94"/>
    <n v="51.311999999999998"/>
  </r>
  <r>
    <n v="99"/>
    <x v="48"/>
    <d v="2017-09-06T00:00:00"/>
    <d v="2017-09-11T00:00:00"/>
    <x v="1"/>
    <x v="45"/>
    <s v="Elpida Rittenbach"/>
    <x v="1"/>
    <x v="0"/>
    <s v="Saint Paul"/>
    <s v="Minnesota"/>
    <n v="55106"/>
    <x v="2"/>
    <x v="95"/>
    <x v="1"/>
    <x v="9"/>
    <x v="95"/>
    <n v="77.88"/>
  </r>
  <r>
    <n v="100"/>
    <x v="49"/>
    <d v="2017-08-29T00:00:00"/>
    <d v="2017-09-02T00:00:00"/>
    <x v="1"/>
    <x v="46"/>
    <s v="Rick Bensley"/>
    <x v="2"/>
    <x v="0"/>
    <s v="Chicago"/>
    <s v="Illinois"/>
    <n v="60610"/>
    <x v="2"/>
    <x v="96"/>
    <x v="1"/>
    <x v="10"/>
    <x v="96"/>
    <n v="64.623999999999995"/>
  </r>
  <r>
    <n v="101"/>
    <x v="49"/>
    <d v="2017-08-29T00:00:00"/>
    <d v="2017-09-02T00:00:00"/>
    <x v="1"/>
    <x v="46"/>
    <s v="Rick Bensley"/>
    <x v="2"/>
    <x v="0"/>
    <s v="Chicago"/>
    <s v="Illinois"/>
    <n v="60610"/>
    <x v="2"/>
    <x v="97"/>
    <x v="2"/>
    <x v="11"/>
    <x v="97"/>
    <n v="95.975999999999999"/>
  </r>
  <r>
    <n v="102"/>
    <x v="49"/>
    <d v="2017-08-29T00:00:00"/>
    <d v="2017-09-02T00:00:00"/>
    <x v="1"/>
    <x v="46"/>
    <s v="Rick Bensley"/>
    <x v="2"/>
    <x v="0"/>
    <s v="Chicago"/>
    <s v="Illinois"/>
    <n v="60610"/>
    <x v="2"/>
    <x v="98"/>
    <x v="1"/>
    <x v="8"/>
    <x v="98"/>
    <n v="1.788"/>
  </r>
  <r>
    <n v="103"/>
    <x v="50"/>
    <d v="2017-12-01T00:00:00"/>
    <d v="2017-12-04T00:00:00"/>
    <x v="0"/>
    <x v="47"/>
    <s v="Gary Zandusky"/>
    <x v="0"/>
    <x v="0"/>
    <s v="Rochester"/>
    <s v="Minnesota"/>
    <n v="55901"/>
    <x v="2"/>
    <x v="99"/>
    <x v="1"/>
    <x v="10"/>
    <x v="99"/>
    <n v="23.92"/>
  </r>
  <r>
    <n v="104"/>
    <x v="51"/>
    <d v="2016-11-13T00:00:00"/>
    <d v="2016-11-17T00:00:00"/>
    <x v="1"/>
    <x v="48"/>
    <s v="Lena Cacioppo"/>
    <x v="0"/>
    <x v="0"/>
    <s v="Aurora"/>
    <s v="Colorado"/>
    <n v="80013"/>
    <x v="1"/>
    <x v="100"/>
    <x v="2"/>
    <x v="11"/>
    <x v="100"/>
    <n v="238.89599999999999"/>
  </r>
  <r>
    <n v="105"/>
    <x v="51"/>
    <d v="2016-11-13T00:00:00"/>
    <d v="2016-11-17T00:00:00"/>
    <x v="1"/>
    <x v="48"/>
    <s v="Lena Cacioppo"/>
    <x v="0"/>
    <x v="0"/>
    <s v="Aurora"/>
    <s v="Colorado"/>
    <n v="80013"/>
    <x v="1"/>
    <x v="101"/>
    <x v="0"/>
    <x v="5"/>
    <x v="101"/>
    <n v="102.36"/>
  </r>
  <r>
    <n v="106"/>
    <x v="51"/>
    <d v="2016-11-13T00:00:00"/>
    <d v="2016-11-17T00:00:00"/>
    <x v="1"/>
    <x v="48"/>
    <s v="Lena Cacioppo"/>
    <x v="0"/>
    <x v="0"/>
    <s v="Aurora"/>
    <s v="Colorado"/>
    <n v="80013"/>
    <x v="1"/>
    <x v="102"/>
    <x v="1"/>
    <x v="8"/>
    <x v="102"/>
    <n v="36.881999999999998"/>
  </r>
  <r>
    <n v="107"/>
    <x v="52"/>
    <d v="2018-11-23T00:00:00"/>
    <d v="2018-11-28T00:00:00"/>
    <x v="1"/>
    <x v="49"/>
    <s v="Janet Martin"/>
    <x v="0"/>
    <x v="0"/>
    <s v="Charlotte"/>
    <s v="North Carolina"/>
    <n v="28205"/>
    <x v="0"/>
    <x v="103"/>
    <x v="2"/>
    <x v="11"/>
    <x v="103"/>
    <n v="74.111999999999995"/>
  </r>
  <r>
    <n v="108"/>
    <x v="52"/>
    <d v="2018-11-23T00:00:00"/>
    <d v="2018-11-28T00:00:00"/>
    <x v="1"/>
    <x v="49"/>
    <s v="Janet Martin"/>
    <x v="0"/>
    <x v="0"/>
    <s v="Charlotte"/>
    <s v="North Carolina"/>
    <n v="28205"/>
    <x v="0"/>
    <x v="104"/>
    <x v="2"/>
    <x v="7"/>
    <x v="104"/>
    <n v="27.992000000000001"/>
  </r>
  <r>
    <n v="109"/>
    <x v="52"/>
    <d v="2018-11-23T00:00:00"/>
    <d v="2018-11-28T00:00:00"/>
    <x v="1"/>
    <x v="49"/>
    <s v="Janet Martin"/>
    <x v="0"/>
    <x v="0"/>
    <s v="Charlotte"/>
    <s v="North Carolina"/>
    <n v="28205"/>
    <x v="0"/>
    <x v="105"/>
    <x v="1"/>
    <x v="6"/>
    <x v="105"/>
    <n v="3.3039999999999998"/>
  </r>
  <r>
    <n v="110"/>
    <x v="53"/>
    <d v="2016-10-15T00:00:00"/>
    <d v="2016-10-20T00:00:00"/>
    <x v="1"/>
    <x v="50"/>
    <s v="Pete Armstrong"/>
    <x v="2"/>
    <x v="0"/>
    <s v="Orland Park"/>
    <s v="Illinois"/>
    <n v="60462"/>
    <x v="2"/>
    <x v="106"/>
    <x v="2"/>
    <x v="11"/>
    <x v="106"/>
    <n v="339.96"/>
  </r>
  <r>
    <n v="111"/>
    <x v="54"/>
    <d v="2018-12-25T00:00:00"/>
    <d v="2018-12-30T00:00:00"/>
    <x v="1"/>
    <x v="51"/>
    <s v="Cynthia Voltz"/>
    <x v="1"/>
    <x v="0"/>
    <s v="New York City"/>
    <s v="New York"/>
    <n v="10035"/>
    <x v="3"/>
    <x v="107"/>
    <x v="0"/>
    <x v="5"/>
    <x v="107"/>
    <n v="41.96"/>
  </r>
  <r>
    <n v="112"/>
    <x v="55"/>
    <d v="2017-11-03T00:00:00"/>
    <d v="2017-11-10T00:00:00"/>
    <x v="1"/>
    <x v="52"/>
    <s v="Clay Ludtke"/>
    <x v="0"/>
    <x v="0"/>
    <s v="Urbandale"/>
    <s v="Iowa"/>
    <n v="50322"/>
    <x v="2"/>
    <x v="108"/>
    <x v="1"/>
    <x v="6"/>
    <x v="108"/>
    <n v="75.959999999999994"/>
  </r>
  <r>
    <n v="113"/>
    <x v="55"/>
    <d v="2017-11-03T00:00:00"/>
    <d v="2017-11-10T00:00:00"/>
    <x v="1"/>
    <x v="52"/>
    <s v="Clay Ludtke"/>
    <x v="0"/>
    <x v="0"/>
    <s v="Urbandale"/>
    <s v="Iowa"/>
    <n v="50322"/>
    <x v="2"/>
    <x v="109"/>
    <x v="1"/>
    <x v="8"/>
    <x v="109"/>
    <n v="27.24"/>
  </r>
  <r>
    <n v="114"/>
    <x v="56"/>
    <d v="2015-08-25T00:00:00"/>
    <d v="2015-08-27T00:00:00"/>
    <x v="0"/>
    <x v="53"/>
    <s v="Ryan Crowe"/>
    <x v="0"/>
    <x v="0"/>
    <s v="Columbus"/>
    <s v="Ohio"/>
    <n v="43229"/>
    <x v="3"/>
    <x v="110"/>
    <x v="1"/>
    <x v="13"/>
    <x v="110"/>
    <n v="40.095999999999997"/>
  </r>
  <r>
    <n v="115"/>
    <x v="56"/>
    <d v="2015-08-25T00:00:00"/>
    <d v="2015-08-27T00:00:00"/>
    <x v="0"/>
    <x v="53"/>
    <s v="Ryan Crowe"/>
    <x v="0"/>
    <x v="0"/>
    <s v="Columbus"/>
    <s v="Ohio"/>
    <n v="43229"/>
    <x v="3"/>
    <x v="111"/>
    <x v="1"/>
    <x v="12"/>
    <x v="111"/>
    <n v="4.72"/>
  </r>
  <r>
    <n v="116"/>
    <x v="56"/>
    <d v="2015-08-25T00:00:00"/>
    <d v="2015-08-27T00:00:00"/>
    <x v="0"/>
    <x v="53"/>
    <s v="Ryan Crowe"/>
    <x v="0"/>
    <x v="0"/>
    <s v="Columbus"/>
    <s v="Ohio"/>
    <n v="43229"/>
    <x v="3"/>
    <x v="112"/>
    <x v="1"/>
    <x v="10"/>
    <x v="112"/>
    <n v="23.975999999999999"/>
  </r>
  <r>
    <n v="117"/>
    <x v="56"/>
    <d v="2015-08-25T00:00:00"/>
    <d v="2015-08-27T00:00:00"/>
    <x v="0"/>
    <x v="53"/>
    <s v="Ryan Crowe"/>
    <x v="0"/>
    <x v="0"/>
    <s v="Columbus"/>
    <s v="Ohio"/>
    <n v="43229"/>
    <x v="3"/>
    <x v="113"/>
    <x v="1"/>
    <x v="12"/>
    <x v="113"/>
    <n v="130.464"/>
  </r>
  <r>
    <n v="118"/>
    <x v="57"/>
    <d v="2016-03-02T00:00:00"/>
    <d v="2016-03-06T00:00:00"/>
    <x v="1"/>
    <x v="54"/>
    <s v="Dave Kipp"/>
    <x v="0"/>
    <x v="0"/>
    <s v="Seattle"/>
    <s v="Washington"/>
    <n v="98103"/>
    <x v="1"/>
    <x v="114"/>
    <x v="0"/>
    <x v="3"/>
    <x v="114"/>
    <n v="787.53"/>
  </r>
  <r>
    <n v="119"/>
    <x v="58"/>
    <d v="2016-04-05T00:00:00"/>
    <d v="2016-04-10T00:00:00"/>
    <x v="1"/>
    <x v="55"/>
    <s v="Greg Guthrie"/>
    <x v="1"/>
    <x v="0"/>
    <s v="Bristol"/>
    <s v="Tennessee"/>
    <n v="37620"/>
    <x v="0"/>
    <x v="115"/>
    <x v="1"/>
    <x v="8"/>
    <x v="115"/>
    <n v="157.79400000000001"/>
  </r>
  <r>
    <n v="120"/>
    <x v="59"/>
    <d v="2017-06-12T00:00:00"/>
    <d v="2017-06-15T00:00:00"/>
    <x v="2"/>
    <x v="56"/>
    <s v="Steven Cartwright"/>
    <x v="0"/>
    <x v="0"/>
    <s v="Wilmington"/>
    <s v="Delaware"/>
    <n v="19805"/>
    <x v="3"/>
    <x v="116"/>
    <x v="0"/>
    <x v="5"/>
    <x v="116"/>
    <n v="47.04"/>
  </r>
  <r>
    <n v="121"/>
    <x v="59"/>
    <d v="2017-06-12T00:00:00"/>
    <d v="2017-06-15T00:00:00"/>
    <x v="2"/>
    <x v="56"/>
    <s v="Steven Cartwright"/>
    <x v="0"/>
    <x v="0"/>
    <s v="Wilmington"/>
    <s v="Delaware"/>
    <n v="19805"/>
    <x v="3"/>
    <x v="8"/>
    <x v="1"/>
    <x v="8"/>
    <x v="8"/>
    <n v="30.84"/>
  </r>
  <r>
    <n v="122"/>
    <x v="59"/>
    <d v="2017-06-12T00:00:00"/>
    <d v="2017-06-15T00:00:00"/>
    <x v="2"/>
    <x v="56"/>
    <s v="Steven Cartwright"/>
    <x v="0"/>
    <x v="0"/>
    <s v="Wilmington"/>
    <s v="Delaware"/>
    <n v="19805"/>
    <x v="3"/>
    <x v="117"/>
    <x v="1"/>
    <x v="4"/>
    <x v="117"/>
    <n v="226.56"/>
  </r>
  <r>
    <n v="123"/>
    <x v="59"/>
    <d v="2017-06-12T00:00:00"/>
    <d v="2017-06-15T00:00:00"/>
    <x v="2"/>
    <x v="56"/>
    <s v="Steven Cartwright"/>
    <x v="0"/>
    <x v="0"/>
    <s v="Wilmington"/>
    <s v="Delaware"/>
    <n v="19805"/>
    <x v="3"/>
    <x v="118"/>
    <x v="1"/>
    <x v="12"/>
    <x v="118"/>
    <n v="115.02"/>
  </r>
  <r>
    <n v="124"/>
    <x v="59"/>
    <d v="2017-06-12T00:00:00"/>
    <d v="2017-06-15T00:00:00"/>
    <x v="2"/>
    <x v="56"/>
    <s v="Steven Cartwright"/>
    <x v="0"/>
    <x v="0"/>
    <s v="Wilmington"/>
    <s v="Delaware"/>
    <n v="19805"/>
    <x v="3"/>
    <x v="119"/>
    <x v="2"/>
    <x v="7"/>
    <x v="119"/>
    <n v="68.040000000000006"/>
  </r>
  <r>
    <n v="125"/>
    <x v="60"/>
    <d v="2015-12-26T00:00:00"/>
    <d v="2015-12-28T00:00:00"/>
    <x v="0"/>
    <x v="57"/>
    <s v="Alan Dominguez"/>
    <x v="2"/>
    <x v="0"/>
    <s v="Houston"/>
    <s v="Texas"/>
    <n v="77041"/>
    <x v="2"/>
    <x v="120"/>
    <x v="0"/>
    <x v="1"/>
    <x v="120"/>
    <n v="600.55799999999999"/>
  </r>
  <r>
    <n v="126"/>
    <x v="61"/>
    <d v="2015-09-20T00:00:00"/>
    <d v="2015-09-25T00:00:00"/>
    <x v="1"/>
    <x v="58"/>
    <s v="Philip Fox"/>
    <x v="0"/>
    <x v="0"/>
    <s v="Bloomington"/>
    <s v="Illinois"/>
    <n v="61701"/>
    <x v="2"/>
    <x v="121"/>
    <x v="0"/>
    <x v="3"/>
    <x v="121"/>
    <n v="617.70000000000005"/>
  </r>
  <r>
    <n v="127"/>
    <x v="62"/>
    <d v="2018-11-05T00:00:00"/>
    <d v="2018-11-12T00:00:00"/>
    <x v="1"/>
    <x v="59"/>
    <s v="Troy Staebel"/>
    <x v="0"/>
    <x v="0"/>
    <s v="Phoenix"/>
    <s v="Arizona"/>
    <n v="85023"/>
    <x v="1"/>
    <x v="122"/>
    <x v="1"/>
    <x v="8"/>
    <x v="122"/>
    <n v="2.3879999999999999"/>
  </r>
  <r>
    <n v="128"/>
    <x v="62"/>
    <d v="2018-11-05T00:00:00"/>
    <d v="2018-11-12T00:00:00"/>
    <x v="1"/>
    <x v="59"/>
    <s v="Troy Staebel"/>
    <x v="0"/>
    <x v="0"/>
    <s v="Phoenix"/>
    <s v="Arizona"/>
    <n v="85023"/>
    <x v="1"/>
    <x v="123"/>
    <x v="1"/>
    <x v="4"/>
    <x v="123"/>
    <n v="243.99199999999999"/>
  </r>
  <r>
    <n v="129"/>
    <x v="63"/>
    <d v="2017-11-06T00:00:00"/>
    <d v="2017-11-10T00:00:00"/>
    <x v="0"/>
    <x v="60"/>
    <s v="Lindsay Shagiari"/>
    <x v="2"/>
    <x v="0"/>
    <s v="Los Angeles"/>
    <s v="California"/>
    <n v="90004"/>
    <x v="1"/>
    <x v="64"/>
    <x v="0"/>
    <x v="1"/>
    <x v="124"/>
    <n v="81.424000000000007"/>
  </r>
  <r>
    <n v="130"/>
    <x v="63"/>
    <d v="2017-11-06T00:00:00"/>
    <d v="2017-11-10T00:00:00"/>
    <x v="0"/>
    <x v="60"/>
    <s v="Lindsay Shagiari"/>
    <x v="2"/>
    <x v="0"/>
    <s v="Los Angeles"/>
    <s v="California"/>
    <n v="90004"/>
    <x v="1"/>
    <x v="124"/>
    <x v="0"/>
    <x v="5"/>
    <x v="125"/>
    <n v="238.56"/>
  </r>
  <r>
    <n v="131"/>
    <x v="64"/>
    <d v="2018-02-02T00:00:00"/>
    <d v="2018-02-05T00:00:00"/>
    <x v="2"/>
    <x v="61"/>
    <s v="Dorothy Wardle"/>
    <x v="1"/>
    <x v="0"/>
    <s v="Columbus"/>
    <s v="Ohio"/>
    <n v="43229"/>
    <x v="3"/>
    <x v="125"/>
    <x v="2"/>
    <x v="7"/>
    <x v="126"/>
    <n v="59.97"/>
  </r>
  <r>
    <n v="132"/>
    <x v="64"/>
    <d v="2018-02-02T00:00:00"/>
    <d v="2018-02-05T00:00:00"/>
    <x v="2"/>
    <x v="61"/>
    <s v="Dorothy Wardle"/>
    <x v="1"/>
    <x v="0"/>
    <s v="Columbus"/>
    <s v="Ohio"/>
    <n v="43229"/>
    <x v="3"/>
    <x v="126"/>
    <x v="1"/>
    <x v="10"/>
    <x v="127"/>
    <n v="78.304000000000002"/>
  </r>
  <r>
    <n v="133"/>
    <x v="64"/>
    <d v="2018-02-02T00:00:00"/>
    <d v="2018-02-05T00:00:00"/>
    <x v="2"/>
    <x v="61"/>
    <s v="Dorothy Wardle"/>
    <x v="1"/>
    <x v="0"/>
    <s v="Columbus"/>
    <s v="Ohio"/>
    <n v="43229"/>
    <x v="3"/>
    <x v="127"/>
    <x v="1"/>
    <x v="13"/>
    <x v="128"/>
    <n v="21.456"/>
  </r>
  <r>
    <n v="134"/>
    <x v="65"/>
    <d v="2017-10-13T00:00:00"/>
    <d v="2017-10-19T00:00:00"/>
    <x v="1"/>
    <x v="62"/>
    <s v="Lena Creighton"/>
    <x v="0"/>
    <x v="0"/>
    <s v="Roseville"/>
    <s v="California"/>
    <n v="95661"/>
    <x v="1"/>
    <x v="128"/>
    <x v="1"/>
    <x v="10"/>
    <x v="129"/>
    <n v="20.04"/>
  </r>
  <r>
    <n v="135"/>
    <x v="65"/>
    <d v="2017-10-13T00:00:00"/>
    <d v="2017-10-19T00:00:00"/>
    <x v="1"/>
    <x v="62"/>
    <s v="Lena Creighton"/>
    <x v="0"/>
    <x v="0"/>
    <s v="Roseville"/>
    <s v="California"/>
    <n v="95661"/>
    <x v="1"/>
    <x v="129"/>
    <x v="1"/>
    <x v="10"/>
    <x v="130"/>
    <n v="35.44"/>
  </r>
  <r>
    <n v="136"/>
    <x v="65"/>
    <d v="2017-10-13T00:00:00"/>
    <d v="2017-10-19T00:00:00"/>
    <x v="1"/>
    <x v="62"/>
    <s v="Lena Creighton"/>
    <x v="0"/>
    <x v="0"/>
    <s v="Roseville"/>
    <s v="California"/>
    <n v="95661"/>
    <x v="1"/>
    <x v="130"/>
    <x v="1"/>
    <x v="6"/>
    <x v="131"/>
    <n v="11.52"/>
  </r>
  <r>
    <n v="137"/>
    <x v="65"/>
    <d v="2017-10-13T00:00:00"/>
    <d v="2017-10-19T00:00:00"/>
    <x v="1"/>
    <x v="62"/>
    <s v="Lena Creighton"/>
    <x v="0"/>
    <x v="0"/>
    <s v="Roseville"/>
    <s v="California"/>
    <n v="95661"/>
    <x v="1"/>
    <x v="131"/>
    <x v="1"/>
    <x v="13"/>
    <x v="132"/>
    <n v="4.0199999999999996"/>
  </r>
  <r>
    <n v="138"/>
    <x v="65"/>
    <d v="2017-10-13T00:00:00"/>
    <d v="2017-10-19T00:00:00"/>
    <x v="1"/>
    <x v="62"/>
    <s v="Lena Creighton"/>
    <x v="0"/>
    <x v="0"/>
    <s v="Roseville"/>
    <s v="California"/>
    <n v="95661"/>
    <x v="1"/>
    <x v="132"/>
    <x v="1"/>
    <x v="8"/>
    <x v="133"/>
    <n v="76.176000000000002"/>
  </r>
  <r>
    <n v="139"/>
    <x v="65"/>
    <d v="2017-10-13T00:00:00"/>
    <d v="2017-10-19T00:00:00"/>
    <x v="1"/>
    <x v="62"/>
    <s v="Lena Creighton"/>
    <x v="0"/>
    <x v="0"/>
    <s v="Roseville"/>
    <s v="California"/>
    <n v="95661"/>
    <x v="1"/>
    <x v="133"/>
    <x v="1"/>
    <x v="14"/>
    <x v="134"/>
    <n v="65.88"/>
  </r>
  <r>
    <n v="140"/>
    <x v="65"/>
    <d v="2017-10-13T00:00:00"/>
    <d v="2017-10-19T00:00:00"/>
    <x v="1"/>
    <x v="62"/>
    <s v="Lena Creighton"/>
    <x v="0"/>
    <x v="0"/>
    <s v="Roseville"/>
    <s v="California"/>
    <n v="95661"/>
    <x v="1"/>
    <x v="50"/>
    <x v="0"/>
    <x v="5"/>
    <x v="50"/>
    <n v="43.12"/>
  </r>
  <r>
    <n v="141"/>
    <x v="66"/>
    <d v="2017-09-05T00:00:00"/>
    <d v="2017-09-07T00:00:00"/>
    <x v="0"/>
    <x v="63"/>
    <s v="Jonathan Doherty"/>
    <x v="1"/>
    <x v="0"/>
    <s v="Philadelphia"/>
    <s v="Pennsylvania"/>
    <n v="19140"/>
    <x v="3"/>
    <x v="28"/>
    <x v="0"/>
    <x v="5"/>
    <x v="28"/>
    <n v="82.8"/>
  </r>
  <r>
    <n v="142"/>
    <x v="67"/>
    <d v="2018-09-18T00:00:00"/>
    <d v="2018-09-23T00:00:00"/>
    <x v="1"/>
    <x v="64"/>
    <s v="Sally Hughsby"/>
    <x v="1"/>
    <x v="0"/>
    <s v="San Francisco"/>
    <s v="California"/>
    <n v="94122"/>
    <x v="1"/>
    <x v="134"/>
    <x v="1"/>
    <x v="6"/>
    <x v="135"/>
    <n v="8.82"/>
  </r>
  <r>
    <n v="143"/>
    <x v="67"/>
    <d v="2018-09-18T00:00:00"/>
    <d v="2018-09-23T00:00:00"/>
    <x v="1"/>
    <x v="64"/>
    <s v="Sally Hughsby"/>
    <x v="1"/>
    <x v="0"/>
    <s v="San Francisco"/>
    <s v="California"/>
    <n v="94122"/>
    <x v="1"/>
    <x v="135"/>
    <x v="1"/>
    <x v="12"/>
    <x v="136"/>
    <n v="10.86"/>
  </r>
  <r>
    <n v="144"/>
    <x v="67"/>
    <d v="2018-09-18T00:00:00"/>
    <d v="2018-09-23T00:00:00"/>
    <x v="1"/>
    <x v="64"/>
    <s v="Sally Hughsby"/>
    <x v="1"/>
    <x v="0"/>
    <s v="San Francisco"/>
    <s v="California"/>
    <n v="94122"/>
    <x v="1"/>
    <x v="136"/>
    <x v="1"/>
    <x v="10"/>
    <x v="137"/>
    <n v="143.69999999999999"/>
  </r>
  <r>
    <n v="145"/>
    <x v="68"/>
    <d v="2018-12-22T00:00:00"/>
    <d v="2018-12-27T00:00:00"/>
    <x v="1"/>
    <x v="65"/>
    <s v="Sandra Glassco"/>
    <x v="0"/>
    <x v="0"/>
    <s v="Independence"/>
    <s v="Missouri"/>
    <n v="64055"/>
    <x v="2"/>
    <x v="137"/>
    <x v="1"/>
    <x v="9"/>
    <x v="138"/>
    <n v="839.43"/>
  </r>
  <r>
    <n v="146"/>
    <x v="69"/>
    <d v="2016-09-07T00:00:00"/>
    <d v="2016-09-12T00:00:00"/>
    <x v="1"/>
    <x v="66"/>
    <s v="Helen Andreada"/>
    <x v="0"/>
    <x v="0"/>
    <s v="Pasadena"/>
    <s v="California"/>
    <n v="91104"/>
    <x v="1"/>
    <x v="82"/>
    <x v="1"/>
    <x v="4"/>
    <x v="82"/>
    <n v="671.93"/>
  </r>
  <r>
    <n v="147"/>
    <x v="70"/>
    <d v="2015-10-22T00:00:00"/>
    <d v="2015-10-28T00:00:00"/>
    <x v="1"/>
    <x v="67"/>
    <s v="Maureen Gastineau"/>
    <x v="2"/>
    <x v="0"/>
    <s v="Newark"/>
    <s v="Ohio"/>
    <n v="43055"/>
    <x v="3"/>
    <x v="138"/>
    <x v="0"/>
    <x v="5"/>
    <x v="139"/>
    <n v="93.888000000000005"/>
  </r>
  <r>
    <n v="148"/>
    <x v="71"/>
    <d v="2017-12-05T00:00:00"/>
    <d v="2017-12-09T00:00:00"/>
    <x v="1"/>
    <x v="68"/>
    <s v="Justin Ellison"/>
    <x v="1"/>
    <x v="0"/>
    <s v="Franklin"/>
    <s v="Wisconsin"/>
    <n v="53132"/>
    <x v="2"/>
    <x v="139"/>
    <x v="2"/>
    <x v="7"/>
    <x v="140"/>
    <n v="384.45"/>
  </r>
  <r>
    <n v="149"/>
    <x v="71"/>
    <d v="2017-12-05T00:00:00"/>
    <d v="2017-12-09T00:00:00"/>
    <x v="1"/>
    <x v="68"/>
    <s v="Justin Ellison"/>
    <x v="1"/>
    <x v="0"/>
    <s v="Franklin"/>
    <s v="Wisconsin"/>
    <n v="53132"/>
    <x v="2"/>
    <x v="140"/>
    <x v="2"/>
    <x v="7"/>
    <x v="141"/>
    <n v="149.97"/>
  </r>
  <r>
    <n v="150"/>
    <x v="71"/>
    <d v="2017-12-05T00:00:00"/>
    <d v="2017-12-09T00:00:00"/>
    <x v="1"/>
    <x v="68"/>
    <s v="Justin Ellison"/>
    <x v="1"/>
    <x v="0"/>
    <s v="Franklin"/>
    <s v="Wisconsin"/>
    <n v="53132"/>
    <x v="2"/>
    <x v="1"/>
    <x v="0"/>
    <x v="1"/>
    <x v="1"/>
    <n v="1951.84"/>
  </r>
  <r>
    <n v="151"/>
    <x v="71"/>
    <d v="2017-12-05T00:00:00"/>
    <d v="2017-12-09T00:00:00"/>
    <x v="1"/>
    <x v="68"/>
    <s v="Justin Ellison"/>
    <x v="1"/>
    <x v="0"/>
    <s v="Franklin"/>
    <s v="Wisconsin"/>
    <n v="53132"/>
    <x v="2"/>
    <x v="141"/>
    <x v="1"/>
    <x v="8"/>
    <x v="142"/>
    <n v="171.55"/>
  </r>
  <r>
    <n v="152"/>
    <x v="72"/>
    <d v="2017-03-13T00:00:00"/>
    <d v="2017-03-16T00:00:00"/>
    <x v="2"/>
    <x v="69"/>
    <s v="Tamara Willingham"/>
    <x v="2"/>
    <x v="0"/>
    <s v="Scottsdale"/>
    <s v="Arizona"/>
    <n v="85254"/>
    <x v="1"/>
    <x v="142"/>
    <x v="1"/>
    <x v="9"/>
    <x v="143"/>
    <n v="157.91999999999999"/>
  </r>
  <r>
    <n v="153"/>
    <x v="72"/>
    <d v="2017-03-13T00:00:00"/>
    <d v="2017-03-16T00:00:00"/>
    <x v="2"/>
    <x v="69"/>
    <s v="Tamara Willingham"/>
    <x v="2"/>
    <x v="0"/>
    <s v="Scottsdale"/>
    <s v="Arizona"/>
    <n v="85254"/>
    <x v="1"/>
    <x v="143"/>
    <x v="2"/>
    <x v="7"/>
    <x v="144"/>
    <n v="203.184"/>
  </r>
  <r>
    <n v="154"/>
    <x v="73"/>
    <d v="2016-05-31T00:00:00"/>
    <d v="2016-06-02T00:00:00"/>
    <x v="2"/>
    <x v="70"/>
    <s v="Stephanie Phelps"/>
    <x v="1"/>
    <x v="0"/>
    <s v="San Jose"/>
    <s v="California"/>
    <n v="95123"/>
    <x v="1"/>
    <x v="144"/>
    <x v="1"/>
    <x v="10"/>
    <x v="145"/>
    <n v="58.38"/>
  </r>
  <r>
    <n v="155"/>
    <x v="73"/>
    <d v="2016-05-31T00:00:00"/>
    <d v="2016-06-02T00:00:00"/>
    <x v="2"/>
    <x v="70"/>
    <s v="Stephanie Phelps"/>
    <x v="1"/>
    <x v="0"/>
    <s v="San Jose"/>
    <s v="California"/>
    <n v="95123"/>
    <x v="1"/>
    <x v="145"/>
    <x v="1"/>
    <x v="10"/>
    <x v="146"/>
    <n v="105.52"/>
  </r>
  <r>
    <n v="156"/>
    <x v="73"/>
    <d v="2016-05-31T00:00:00"/>
    <d v="2016-06-02T00:00:00"/>
    <x v="2"/>
    <x v="70"/>
    <s v="Stephanie Phelps"/>
    <x v="1"/>
    <x v="0"/>
    <s v="San Jose"/>
    <s v="California"/>
    <n v="95123"/>
    <x v="1"/>
    <x v="146"/>
    <x v="1"/>
    <x v="4"/>
    <x v="147"/>
    <n v="80.88"/>
  </r>
  <r>
    <n v="157"/>
    <x v="74"/>
    <d v="2016-05-28T00:00:00"/>
    <d v="2016-06-03T00:00:00"/>
    <x v="1"/>
    <x v="71"/>
    <s v="Neil Knudson"/>
    <x v="2"/>
    <x v="0"/>
    <s v="Seattle"/>
    <s v="Washington"/>
    <n v="98105"/>
    <x v="1"/>
    <x v="147"/>
    <x v="1"/>
    <x v="6"/>
    <x v="148"/>
    <n v="6.63"/>
  </r>
  <r>
    <n v="158"/>
    <x v="75"/>
    <d v="2015-03-01T00:00:00"/>
    <d v="2015-03-06T00:00:00"/>
    <x v="0"/>
    <x v="72"/>
    <s v="Dave Brooks"/>
    <x v="0"/>
    <x v="0"/>
    <s v="Seattle"/>
    <s v="Washington"/>
    <n v="98115"/>
    <x v="1"/>
    <x v="120"/>
    <x v="0"/>
    <x v="1"/>
    <x v="120"/>
    <n v="457.56799999999998"/>
  </r>
  <r>
    <n v="159"/>
    <x v="76"/>
    <d v="2017-11-20T00:00:00"/>
    <d v="2017-11-24T00:00:00"/>
    <x v="1"/>
    <x v="73"/>
    <s v="Nora Paige"/>
    <x v="0"/>
    <x v="0"/>
    <s v="Edmond"/>
    <s v="Oklahoma"/>
    <n v="73034"/>
    <x v="2"/>
    <x v="148"/>
    <x v="1"/>
    <x v="2"/>
    <x v="149"/>
    <n v="14.62"/>
  </r>
  <r>
    <n v="160"/>
    <x v="76"/>
    <d v="2017-11-20T00:00:00"/>
    <d v="2017-11-24T00:00:00"/>
    <x v="1"/>
    <x v="73"/>
    <s v="Nora Paige"/>
    <x v="0"/>
    <x v="0"/>
    <s v="Edmond"/>
    <s v="Oklahoma"/>
    <n v="73034"/>
    <x v="2"/>
    <x v="149"/>
    <x v="2"/>
    <x v="7"/>
    <x v="150"/>
    <n v="944.93"/>
  </r>
  <r>
    <n v="161"/>
    <x v="77"/>
    <d v="2017-05-11T00:00:00"/>
    <d v="2017-05-12T00:00:00"/>
    <x v="2"/>
    <x v="74"/>
    <s v="Ted Trevino"/>
    <x v="0"/>
    <x v="0"/>
    <s v="Los Angeles"/>
    <s v="California"/>
    <n v="90045"/>
    <x v="1"/>
    <x v="150"/>
    <x v="1"/>
    <x v="10"/>
    <x v="151"/>
    <n v="5.98"/>
  </r>
  <r>
    <n v="162"/>
    <x v="78"/>
    <d v="2016-12-28T00:00:00"/>
    <d v="2016-12-31T00:00:00"/>
    <x v="0"/>
    <x v="75"/>
    <s v="Eric Murdock"/>
    <x v="0"/>
    <x v="0"/>
    <s v="Philadelphia"/>
    <s v="Pennsylvania"/>
    <n v="19134"/>
    <x v="3"/>
    <x v="151"/>
    <x v="2"/>
    <x v="11"/>
    <x v="152"/>
    <n v="54.384"/>
  </r>
  <r>
    <n v="163"/>
    <x v="79"/>
    <d v="2017-11-16T00:00:00"/>
    <d v="2017-11-20T00:00:00"/>
    <x v="1"/>
    <x v="76"/>
    <s v="Ruben Dartt"/>
    <x v="0"/>
    <x v="0"/>
    <s v="Carlsbad"/>
    <s v="New Mexico"/>
    <n v="88220"/>
    <x v="1"/>
    <x v="152"/>
    <x v="1"/>
    <x v="12"/>
    <x v="153"/>
    <n v="28.4"/>
  </r>
  <r>
    <n v="164"/>
    <x v="80"/>
    <d v="2017-11-07T00:00:00"/>
    <d v="2017-11-11T00:00:00"/>
    <x v="1"/>
    <x v="77"/>
    <s v="Max Jones"/>
    <x v="0"/>
    <x v="0"/>
    <s v="Seattle"/>
    <s v="Washington"/>
    <n v="98115"/>
    <x v="1"/>
    <x v="153"/>
    <x v="1"/>
    <x v="8"/>
    <x v="154"/>
    <n v="27.68"/>
  </r>
  <r>
    <n v="165"/>
    <x v="81"/>
    <d v="2015-09-08T00:00:00"/>
    <d v="2015-09-12T00:00:00"/>
    <x v="1"/>
    <x v="78"/>
    <s v="Becky Martin"/>
    <x v="0"/>
    <x v="0"/>
    <s v="San Antonio"/>
    <s v="Texas"/>
    <n v="78207"/>
    <x v="2"/>
    <x v="154"/>
    <x v="1"/>
    <x v="6"/>
    <x v="155"/>
    <n v="9.9359999999999999"/>
  </r>
  <r>
    <n v="166"/>
    <x v="81"/>
    <d v="2015-09-08T00:00:00"/>
    <d v="2015-09-12T00:00:00"/>
    <x v="1"/>
    <x v="78"/>
    <s v="Becky Martin"/>
    <x v="0"/>
    <x v="0"/>
    <s v="San Antonio"/>
    <s v="Texas"/>
    <n v="78207"/>
    <x v="2"/>
    <x v="155"/>
    <x v="2"/>
    <x v="15"/>
    <x v="156"/>
    <n v="8159.9520000000002"/>
  </r>
  <r>
    <n v="167"/>
    <x v="81"/>
    <d v="2015-09-08T00:00:00"/>
    <d v="2015-09-12T00:00:00"/>
    <x v="1"/>
    <x v="78"/>
    <s v="Becky Martin"/>
    <x v="0"/>
    <x v="0"/>
    <s v="San Antonio"/>
    <s v="Texas"/>
    <n v="78207"/>
    <x v="2"/>
    <x v="156"/>
    <x v="1"/>
    <x v="4"/>
    <x v="157"/>
    <n v="275.928"/>
  </r>
  <r>
    <n v="168"/>
    <x v="81"/>
    <d v="2015-09-08T00:00:00"/>
    <d v="2015-09-12T00:00:00"/>
    <x v="1"/>
    <x v="78"/>
    <s v="Becky Martin"/>
    <x v="0"/>
    <x v="0"/>
    <s v="San Antonio"/>
    <s v="Texas"/>
    <n v="78207"/>
    <x v="2"/>
    <x v="157"/>
    <x v="0"/>
    <x v="1"/>
    <x v="158"/>
    <n v="1740.06"/>
  </r>
  <r>
    <n v="169"/>
    <x v="81"/>
    <d v="2015-09-08T00:00:00"/>
    <d v="2015-09-12T00:00:00"/>
    <x v="1"/>
    <x v="78"/>
    <s v="Becky Martin"/>
    <x v="0"/>
    <x v="0"/>
    <s v="San Antonio"/>
    <s v="Texas"/>
    <n v="78207"/>
    <x v="2"/>
    <x v="158"/>
    <x v="1"/>
    <x v="6"/>
    <x v="159"/>
    <n v="32.064"/>
  </r>
  <r>
    <n v="170"/>
    <x v="81"/>
    <d v="2015-09-08T00:00:00"/>
    <d v="2015-09-12T00:00:00"/>
    <x v="1"/>
    <x v="78"/>
    <s v="Becky Martin"/>
    <x v="0"/>
    <x v="0"/>
    <s v="San Antonio"/>
    <s v="Texas"/>
    <n v="78207"/>
    <x v="2"/>
    <x v="159"/>
    <x v="1"/>
    <x v="9"/>
    <x v="160"/>
    <n v="177.98"/>
  </r>
  <r>
    <n v="171"/>
    <x v="81"/>
    <d v="2015-09-08T00:00:00"/>
    <d v="2015-09-12T00:00:00"/>
    <x v="1"/>
    <x v="78"/>
    <s v="Becky Martin"/>
    <x v="0"/>
    <x v="0"/>
    <s v="San Antonio"/>
    <s v="Texas"/>
    <n v="78207"/>
    <x v="2"/>
    <x v="160"/>
    <x v="2"/>
    <x v="7"/>
    <x v="161"/>
    <n v="143.976"/>
  </r>
  <r>
    <n v="172"/>
    <x v="82"/>
    <d v="2015-08-05T00:00:00"/>
    <d v="2015-08-09T00:00:00"/>
    <x v="1"/>
    <x v="79"/>
    <s v="Chad Sievert"/>
    <x v="0"/>
    <x v="0"/>
    <s v="Los Angeles"/>
    <s v="California"/>
    <n v="90004"/>
    <x v="1"/>
    <x v="161"/>
    <x v="1"/>
    <x v="10"/>
    <x v="162"/>
    <n v="20.94"/>
  </r>
  <r>
    <n v="173"/>
    <x v="82"/>
    <d v="2015-08-05T00:00:00"/>
    <d v="2015-08-09T00:00:00"/>
    <x v="1"/>
    <x v="79"/>
    <s v="Chad Sievert"/>
    <x v="0"/>
    <x v="0"/>
    <s v="Los Angeles"/>
    <s v="California"/>
    <n v="90004"/>
    <x v="1"/>
    <x v="162"/>
    <x v="1"/>
    <x v="10"/>
    <x v="163"/>
    <n v="110.96"/>
  </r>
  <r>
    <n v="174"/>
    <x v="82"/>
    <d v="2015-08-05T00:00:00"/>
    <d v="2015-08-09T00:00:00"/>
    <x v="1"/>
    <x v="79"/>
    <s v="Chad Sievert"/>
    <x v="0"/>
    <x v="0"/>
    <s v="Los Angeles"/>
    <s v="California"/>
    <n v="90004"/>
    <x v="1"/>
    <x v="163"/>
    <x v="0"/>
    <x v="1"/>
    <x v="164"/>
    <n v="340.14400000000001"/>
  </r>
  <r>
    <n v="175"/>
    <x v="83"/>
    <d v="2015-09-14T00:00:00"/>
    <d v="2015-09-19T00:00:00"/>
    <x v="1"/>
    <x v="80"/>
    <s v="Jennifer Braxton"/>
    <x v="1"/>
    <x v="0"/>
    <s v="Chicago"/>
    <s v="Illinois"/>
    <n v="60623"/>
    <x v="2"/>
    <x v="164"/>
    <x v="1"/>
    <x v="9"/>
    <x v="165"/>
    <n v="52.448"/>
  </r>
  <r>
    <n v="176"/>
    <x v="83"/>
    <d v="2015-09-14T00:00:00"/>
    <d v="2015-09-19T00:00:00"/>
    <x v="1"/>
    <x v="80"/>
    <s v="Jennifer Braxton"/>
    <x v="1"/>
    <x v="0"/>
    <s v="Chicago"/>
    <s v="Illinois"/>
    <n v="60623"/>
    <x v="2"/>
    <x v="165"/>
    <x v="1"/>
    <x v="2"/>
    <x v="166"/>
    <n v="20.16"/>
  </r>
  <r>
    <n v="177"/>
    <x v="84"/>
    <d v="2018-04-21T00:00:00"/>
    <d v="2018-04-25T00:00:00"/>
    <x v="0"/>
    <x v="81"/>
    <s v="Shirley Jackson"/>
    <x v="0"/>
    <x v="0"/>
    <s v="Houston"/>
    <s v="Texas"/>
    <n v="77036"/>
    <x v="2"/>
    <x v="166"/>
    <x v="1"/>
    <x v="9"/>
    <x v="167"/>
    <n v="97.263999999999996"/>
  </r>
  <r>
    <n v="178"/>
    <x v="85"/>
    <d v="2016-11-21T00:00:00"/>
    <d v="2016-11-23T00:00:00"/>
    <x v="0"/>
    <x v="32"/>
    <s v="Joel Eaton"/>
    <x v="0"/>
    <x v="0"/>
    <s v="Newark"/>
    <s v="Ohio"/>
    <n v="43055"/>
    <x v="3"/>
    <x v="167"/>
    <x v="0"/>
    <x v="1"/>
    <x v="168"/>
    <n v="396.80200000000002"/>
  </r>
  <r>
    <n v="179"/>
    <x v="85"/>
    <d v="2016-11-21T00:00:00"/>
    <d v="2016-11-23T00:00:00"/>
    <x v="0"/>
    <x v="32"/>
    <s v="Joel Eaton"/>
    <x v="0"/>
    <x v="0"/>
    <s v="Newark"/>
    <s v="Ohio"/>
    <n v="43055"/>
    <x v="3"/>
    <x v="168"/>
    <x v="1"/>
    <x v="14"/>
    <x v="169"/>
    <n v="15.88"/>
  </r>
  <r>
    <n v="180"/>
    <x v="86"/>
    <d v="2016-12-15T00:00:00"/>
    <d v="2016-12-19T00:00:00"/>
    <x v="1"/>
    <x v="82"/>
    <s v="Jim Kriz"/>
    <x v="2"/>
    <x v="0"/>
    <s v="New York City"/>
    <s v="New York"/>
    <n v="10009"/>
    <x v="3"/>
    <x v="169"/>
    <x v="1"/>
    <x v="6"/>
    <x v="170"/>
    <n v="3.28"/>
  </r>
  <r>
    <n v="181"/>
    <x v="87"/>
    <d v="2015-12-05T00:00:00"/>
    <d v="2015-12-09T00:00:00"/>
    <x v="0"/>
    <x v="83"/>
    <s v="David Kendrick"/>
    <x v="1"/>
    <x v="0"/>
    <s v="Decatur"/>
    <s v="Illinois"/>
    <n v="62521"/>
    <x v="2"/>
    <x v="170"/>
    <x v="1"/>
    <x v="4"/>
    <x v="171"/>
    <n v="24.815999999999999"/>
  </r>
  <r>
    <n v="182"/>
    <x v="87"/>
    <d v="2015-12-05T00:00:00"/>
    <d v="2015-12-09T00:00:00"/>
    <x v="0"/>
    <x v="83"/>
    <s v="David Kendrick"/>
    <x v="1"/>
    <x v="0"/>
    <s v="Decatur"/>
    <s v="Illinois"/>
    <n v="62521"/>
    <x v="2"/>
    <x v="171"/>
    <x v="2"/>
    <x v="11"/>
    <x v="172"/>
    <n v="408.74400000000003"/>
  </r>
  <r>
    <n v="183"/>
    <x v="88"/>
    <d v="2015-11-19T00:00:00"/>
    <d v="2015-11-24T00:00:00"/>
    <x v="0"/>
    <x v="84"/>
    <s v="Robert Marley"/>
    <x v="2"/>
    <x v="0"/>
    <s v="Monroe"/>
    <s v="Louisiana"/>
    <n v="71203"/>
    <x v="0"/>
    <x v="172"/>
    <x v="2"/>
    <x v="7"/>
    <x v="173"/>
    <n v="503.96"/>
  </r>
  <r>
    <n v="184"/>
    <x v="88"/>
    <d v="2015-11-19T00:00:00"/>
    <d v="2015-11-24T00:00:00"/>
    <x v="0"/>
    <x v="84"/>
    <s v="Robert Marley"/>
    <x v="2"/>
    <x v="0"/>
    <s v="Monroe"/>
    <s v="Louisiana"/>
    <n v="71203"/>
    <x v="0"/>
    <x v="173"/>
    <x v="2"/>
    <x v="7"/>
    <x v="174"/>
    <n v="149.94999999999999"/>
  </r>
  <r>
    <n v="185"/>
    <x v="88"/>
    <d v="2015-11-19T00:00:00"/>
    <d v="2015-11-24T00:00:00"/>
    <x v="0"/>
    <x v="84"/>
    <s v="Robert Marley"/>
    <x v="2"/>
    <x v="0"/>
    <s v="Monroe"/>
    <s v="Louisiana"/>
    <n v="71203"/>
    <x v="0"/>
    <x v="174"/>
    <x v="2"/>
    <x v="11"/>
    <x v="175"/>
    <n v="29"/>
  </r>
  <r>
    <n v="186"/>
    <x v="89"/>
    <d v="2017-11-28T00:00:00"/>
    <d v="2017-12-02T00:00:00"/>
    <x v="1"/>
    <x v="85"/>
    <s v="Sally Knutson"/>
    <x v="0"/>
    <x v="0"/>
    <s v="Fairfield"/>
    <s v="Connecticut"/>
    <n v="6824"/>
    <x v="3"/>
    <x v="175"/>
    <x v="1"/>
    <x v="8"/>
    <x v="176"/>
    <n v="7.16"/>
  </r>
  <r>
    <n v="187"/>
    <x v="90"/>
    <d v="2015-08-26T00:00:00"/>
    <d v="2015-08-30T00:00:00"/>
    <x v="1"/>
    <x v="86"/>
    <s v="Frank Merwin"/>
    <x v="2"/>
    <x v="0"/>
    <s v="Los Angeles"/>
    <s v="California"/>
    <n v="90032"/>
    <x v="1"/>
    <x v="176"/>
    <x v="2"/>
    <x v="11"/>
    <x v="177"/>
    <n v="176.8"/>
  </r>
  <r>
    <n v="188"/>
    <x v="91"/>
    <d v="2017-07-16T00:00:00"/>
    <d v="2017-07-22T00:00:00"/>
    <x v="1"/>
    <x v="87"/>
    <s v="Alice McCarthy"/>
    <x v="1"/>
    <x v="0"/>
    <s v="Grand Prairie"/>
    <s v="Texas"/>
    <n v="75051"/>
    <x v="2"/>
    <x v="177"/>
    <x v="1"/>
    <x v="4"/>
    <x v="178"/>
    <n v="37.223999999999997"/>
  </r>
  <r>
    <n v="189"/>
    <x v="91"/>
    <d v="2017-07-16T00:00:00"/>
    <d v="2017-07-22T00:00:00"/>
    <x v="1"/>
    <x v="87"/>
    <s v="Alice McCarthy"/>
    <x v="1"/>
    <x v="0"/>
    <s v="Grand Prairie"/>
    <s v="Texas"/>
    <n v="75051"/>
    <x v="2"/>
    <x v="144"/>
    <x v="1"/>
    <x v="10"/>
    <x v="145"/>
    <n v="20.015999999999998"/>
  </r>
  <r>
    <n v="190"/>
    <x v="92"/>
    <d v="2016-10-12T00:00:00"/>
    <d v="2016-10-14T00:00:00"/>
    <x v="2"/>
    <x v="88"/>
    <s v="Mark Packer"/>
    <x v="2"/>
    <x v="0"/>
    <s v="New York City"/>
    <s v="New York"/>
    <n v="10035"/>
    <x v="3"/>
    <x v="178"/>
    <x v="0"/>
    <x v="0"/>
    <x v="179"/>
    <n v="899.13599999999997"/>
  </r>
  <r>
    <n v="191"/>
    <x v="92"/>
    <d v="2016-10-12T00:00:00"/>
    <d v="2016-10-14T00:00:00"/>
    <x v="2"/>
    <x v="88"/>
    <s v="Mark Packer"/>
    <x v="2"/>
    <x v="0"/>
    <s v="New York City"/>
    <s v="New York"/>
    <n v="10035"/>
    <x v="3"/>
    <x v="179"/>
    <x v="2"/>
    <x v="7"/>
    <x v="180"/>
    <n v="71.760000000000005"/>
  </r>
  <r>
    <n v="192"/>
    <x v="92"/>
    <d v="2016-10-12T00:00:00"/>
    <d v="2016-10-14T00:00:00"/>
    <x v="2"/>
    <x v="88"/>
    <s v="Mark Packer"/>
    <x v="2"/>
    <x v="0"/>
    <s v="New York City"/>
    <s v="New York"/>
    <n v="10035"/>
    <x v="3"/>
    <x v="180"/>
    <x v="1"/>
    <x v="10"/>
    <x v="181"/>
    <n v="51.84"/>
  </r>
  <r>
    <n v="193"/>
    <x v="92"/>
    <d v="2016-10-12T00:00:00"/>
    <d v="2016-10-14T00:00:00"/>
    <x v="2"/>
    <x v="88"/>
    <s v="Mark Packer"/>
    <x v="2"/>
    <x v="0"/>
    <s v="New York City"/>
    <s v="New York"/>
    <n v="10035"/>
    <x v="3"/>
    <x v="37"/>
    <x v="0"/>
    <x v="0"/>
    <x v="37"/>
    <n v="626.35199999999998"/>
  </r>
  <r>
    <n v="194"/>
    <x v="92"/>
    <d v="2016-10-12T00:00:00"/>
    <d v="2016-10-14T00:00:00"/>
    <x v="2"/>
    <x v="88"/>
    <s v="Mark Packer"/>
    <x v="2"/>
    <x v="0"/>
    <s v="New York City"/>
    <s v="New York"/>
    <n v="10035"/>
    <x v="3"/>
    <x v="181"/>
    <x v="1"/>
    <x v="6"/>
    <x v="182"/>
    <n v="19.899999999999999"/>
  </r>
  <r>
    <n v="195"/>
    <x v="93"/>
    <d v="2016-10-31T00:00:00"/>
    <d v="2016-11-06T00:00:00"/>
    <x v="1"/>
    <x v="89"/>
    <s v="Mary Zewe"/>
    <x v="1"/>
    <x v="0"/>
    <s v="Redlands"/>
    <s v="California"/>
    <n v="92374"/>
    <x v="1"/>
    <x v="29"/>
    <x v="1"/>
    <x v="12"/>
    <x v="29"/>
    <n v="14.28"/>
  </r>
  <r>
    <n v="196"/>
    <x v="94"/>
    <d v="2015-03-21T00:00:00"/>
    <d v="2015-03-25T00:00:00"/>
    <x v="1"/>
    <x v="90"/>
    <s v="Cassandra Brandow"/>
    <x v="0"/>
    <x v="0"/>
    <s v="Hamilton"/>
    <s v="Ohio"/>
    <n v="45011"/>
    <x v="3"/>
    <x v="182"/>
    <x v="1"/>
    <x v="6"/>
    <x v="183"/>
    <n v="7.4080000000000004"/>
  </r>
  <r>
    <n v="197"/>
    <x v="94"/>
    <d v="2015-03-21T00:00:00"/>
    <d v="2015-03-25T00:00:00"/>
    <x v="1"/>
    <x v="90"/>
    <s v="Cassandra Brandow"/>
    <x v="0"/>
    <x v="0"/>
    <s v="Hamilton"/>
    <s v="Ohio"/>
    <n v="45011"/>
    <x v="3"/>
    <x v="183"/>
    <x v="1"/>
    <x v="6"/>
    <x v="184"/>
    <n v="6.048"/>
  </r>
  <r>
    <n v="198"/>
    <x v="95"/>
    <d v="2018-11-06T00:00:00"/>
    <d v="2018-11-13T00:00:00"/>
    <x v="1"/>
    <x v="91"/>
    <s v="Valerie Mitchum"/>
    <x v="2"/>
    <x v="0"/>
    <s v="Westfield"/>
    <s v="New Jersey"/>
    <n v="7090"/>
    <x v="3"/>
    <x v="184"/>
    <x v="1"/>
    <x v="4"/>
    <x v="185"/>
    <n v="46.26"/>
  </r>
  <r>
    <n v="199"/>
    <x v="96"/>
    <d v="2018-07-06T00:00:00"/>
    <d v="2018-07-13T00:00:00"/>
    <x v="1"/>
    <x v="92"/>
    <s v="Fred Hopkins"/>
    <x v="1"/>
    <x v="0"/>
    <s v="Philadelphia"/>
    <s v="Pennsylvania"/>
    <n v="19120"/>
    <x v="3"/>
    <x v="185"/>
    <x v="1"/>
    <x v="8"/>
    <x v="186"/>
    <n v="2.9460000000000002"/>
  </r>
  <r>
    <n v="200"/>
    <x v="96"/>
    <d v="2018-07-06T00:00:00"/>
    <d v="2018-07-13T00:00:00"/>
    <x v="1"/>
    <x v="92"/>
    <s v="Fred Hopkins"/>
    <x v="1"/>
    <x v="0"/>
    <s v="Philadelphia"/>
    <s v="Pennsylvania"/>
    <n v="19120"/>
    <x v="3"/>
    <x v="186"/>
    <x v="1"/>
    <x v="10"/>
    <x v="187"/>
    <n v="16.056000000000001"/>
  </r>
  <r>
    <n v="201"/>
    <x v="97"/>
    <d v="2018-06-24T00:00:00"/>
    <d v="2018-06-29T00:00:00"/>
    <x v="1"/>
    <x v="93"/>
    <s v="Maria Bertelson"/>
    <x v="0"/>
    <x v="0"/>
    <s v="Akron"/>
    <s v="Ohio"/>
    <n v="44312"/>
    <x v="3"/>
    <x v="187"/>
    <x v="1"/>
    <x v="10"/>
    <x v="188"/>
    <n v="21.744"/>
  </r>
  <r>
    <n v="202"/>
    <x v="98"/>
    <d v="2015-08-03T00:00:00"/>
    <d v="2015-08-05T00:00:00"/>
    <x v="2"/>
    <x v="94"/>
    <s v="Bruce Stewart"/>
    <x v="0"/>
    <x v="0"/>
    <s v="Denver"/>
    <s v="Colorado"/>
    <n v="80219"/>
    <x v="1"/>
    <x v="188"/>
    <x v="0"/>
    <x v="3"/>
    <x v="189"/>
    <n v="218.75"/>
  </r>
  <r>
    <n v="203"/>
    <x v="98"/>
    <d v="2015-08-03T00:00:00"/>
    <d v="2015-08-05T00:00:00"/>
    <x v="2"/>
    <x v="94"/>
    <s v="Bruce Stewart"/>
    <x v="0"/>
    <x v="0"/>
    <s v="Denver"/>
    <s v="Colorado"/>
    <n v="80219"/>
    <x v="1"/>
    <x v="189"/>
    <x v="1"/>
    <x v="9"/>
    <x v="190"/>
    <n v="2.6"/>
  </r>
  <r>
    <n v="204"/>
    <x v="99"/>
    <d v="2018-12-17T00:00:00"/>
    <d v="2018-12-21T00:00:00"/>
    <x v="0"/>
    <x v="95"/>
    <s v="Logan Currie"/>
    <x v="0"/>
    <x v="0"/>
    <s v="Dallas"/>
    <s v="Texas"/>
    <n v="75220"/>
    <x v="2"/>
    <x v="190"/>
    <x v="1"/>
    <x v="9"/>
    <x v="191"/>
    <n v="66.284000000000006"/>
  </r>
  <r>
    <n v="205"/>
    <x v="100"/>
    <d v="2018-06-03T00:00:00"/>
    <d v="2018-06-07T00:00:00"/>
    <x v="1"/>
    <x v="96"/>
    <s v="Heather Kirkland"/>
    <x v="1"/>
    <x v="0"/>
    <s v="Franklin"/>
    <s v="Tennessee"/>
    <n v="37064"/>
    <x v="0"/>
    <x v="191"/>
    <x v="0"/>
    <x v="5"/>
    <x v="192"/>
    <n v="35.167999999999999"/>
  </r>
  <r>
    <n v="206"/>
    <x v="101"/>
    <d v="2018-12-09T00:00:00"/>
    <d v="2018-12-14T00:00:00"/>
    <x v="1"/>
    <x v="97"/>
    <s v="Laurel Elliston"/>
    <x v="0"/>
    <x v="0"/>
    <s v="Whittier"/>
    <s v="California"/>
    <n v="90604"/>
    <x v="1"/>
    <x v="192"/>
    <x v="2"/>
    <x v="7"/>
    <x v="193"/>
    <n v="444.76799999999997"/>
  </r>
  <r>
    <n v="207"/>
    <x v="102"/>
    <d v="2018-12-01T00:00:00"/>
    <d v="2018-12-07T00:00:00"/>
    <x v="1"/>
    <x v="98"/>
    <s v="Joseph Holt"/>
    <x v="0"/>
    <x v="0"/>
    <s v="Saginaw"/>
    <s v="Michigan"/>
    <n v="48601"/>
    <x v="2"/>
    <x v="193"/>
    <x v="1"/>
    <x v="4"/>
    <x v="194"/>
    <n v="83.92"/>
  </r>
  <r>
    <n v="208"/>
    <x v="102"/>
    <d v="2018-12-01T00:00:00"/>
    <d v="2018-12-07T00:00:00"/>
    <x v="1"/>
    <x v="98"/>
    <s v="Joseph Holt"/>
    <x v="0"/>
    <x v="0"/>
    <s v="Saginaw"/>
    <s v="Michigan"/>
    <n v="48601"/>
    <x v="2"/>
    <x v="194"/>
    <x v="2"/>
    <x v="7"/>
    <x v="195"/>
    <n v="131.97999999999999"/>
  </r>
  <r>
    <n v="209"/>
    <x v="102"/>
    <d v="2018-12-01T00:00:00"/>
    <d v="2018-12-07T00:00:00"/>
    <x v="1"/>
    <x v="98"/>
    <s v="Joseph Holt"/>
    <x v="0"/>
    <x v="0"/>
    <s v="Saginaw"/>
    <s v="Michigan"/>
    <n v="48601"/>
    <x v="2"/>
    <x v="122"/>
    <x v="1"/>
    <x v="8"/>
    <x v="122"/>
    <n v="15.92"/>
  </r>
  <r>
    <n v="210"/>
    <x v="102"/>
    <d v="2018-12-01T00:00:00"/>
    <d v="2018-12-07T00:00:00"/>
    <x v="1"/>
    <x v="98"/>
    <s v="Joseph Holt"/>
    <x v="0"/>
    <x v="0"/>
    <s v="Saginaw"/>
    <s v="Michigan"/>
    <n v="48601"/>
    <x v="2"/>
    <x v="195"/>
    <x v="1"/>
    <x v="13"/>
    <x v="196"/>
    <n v="52.29"/>
  </r>
  <r>
    <n v="211"/>
    <x v="102"/>
    <d v="2018-12-01T00:00:00"/>
    <d v="2018-12-07T00:00:00"/>
    <x v="1"/>
    <x v="98"/>
    <s v="Joseph Holt"/>
    <x v="0"/>
    <x v="0"/>
    <s v="Saginaw"/>
    <s v="Michigan"/>
    <n v="48601"/>
    <x v="2"/>
    <x v="196"/>
    <x v="1"/>
    <x v="4"/>
    <x v="197"/>
    <n v="91.99"/>
  </r>
  <r>
    <n v="212"/>
    <x v="103"/>
    <d v="2016-02-09T00:00:00"/>
    <d v="2016-02-13T00:00:00"/>
    <x v="0"/>
    <x v="99"/>
    <s v="Michael Stewart"/>
    <x v="1"/>
    <x v="0"/>
    <s v="Dallas"/>
    <s v="Texas"/>
    <n v="75220"/>
    <x v="2"/>
    <x v="197"/>
    <x v="2"/>
    <x v="11"/>
    <x v="198"/>
    <n v="20.8"/>
  </r>
  <r>
    <n v="213"/>
    <x v="104"/>
    <d v="2016-01-02T00:00:00"/>
    <d v="2016-01-09T00:00:00"/>
    <x v="1"/>
    <x v="100"/>
    <s v="Victoria Wilson"/>
    <x v="1"/>
    <x v="0"/>
    <s v="Medina"/>
    <s v="Ohio"/>
    <n v="44256"/>
    <x v="3"/>
    <x v="198"/>
    <x v="1"/>
    <x v="2"/>
    <x v="199"/>
    <n v="23.68"/>
  </r>
  <r>
    <n v="214"/>
    <x v="104"/>
    <d v="2016-01-02T00:00:00"/>
    <d v="2016-01-09T00:00:00"/>
    <x v="1"/>
    <x v="100"/>
    <s v="Victoria Wilson"/>
    <x v="1"/>
    <x v="0"/>
    <s v="Medina"/>
    <s v="Ohio"/>
    <n v="44256"/>
    <x v="3"/>
    <x v="199"/>
    <x v="0"/>
    <x v="0"/>
    <x v="200"/>
    <n v="452.45"/>
  </r>
  <r>
    <n v="215"/>
    <x v="104"/>
    <d v="2016-01-02T00:00:00"/>
    <d v="2016-01-09T00:00:00"/>
    <x v="1"/>
    <x v="100"/>
    <s v="Victoria Wilson"/>
    <x v="1"/>
    <x v="0"/>
    <s v="Medina"/>
    <s v="Ohio"/>
    <n v="44256"/>
    <x v="3"/>
    <x v="104"/>
    <x v="2"/>
    <x v="7"/>
    <x v="104"/>
    <n v="62.981999999999999"/>
  </r>
  <r>
    <n v="216"/>
    <x v="104"/>
    <d v="2016-01-02T00:00:00"/>
    <d v="2016-01-09T00:00:00"/>
    <x v="1"/>
    <x v="100"/>
    <s v="Victoria Wilson"/>
    <x v="1"/>
    <x v="0"/>
    <s v="Medina"/>
    <s v="Ohio"/>
    <n v="44256"/>
    <x v="3"/>
    <x v="200"/>
    <x v="2"/>
    <x v="15"/>
    <x v="201"/>
    <n v="1188"/>
  </r>
  <r>
    <n v="217"/>
    <x v="104"/>
    <d v="2016-01-02T00:00:00"/>
    <d v="2016-01-09T00:00:00"/>
    <x v="1"/>
    <x v="100"/>
    <s v="Victoria Wilson"/>
    <x v="1"/>
    <x v="0"/>
    <s v="Medina"/>
    <s v="Ohio"/>
    <n v="44256"/>
    <x v="3"/>
    <x v="201"/>
    <x v="2"/>
    <x v="11"/>
    <x v="202"/>
    <n v="89.584000000000003"/>
  </r>
  <r>
    <n v="218"/>
    <x v="105"/>
    <d v="2017-10-28T00:00:00"/>
    <d v="2017-11-01T00:00:00"/>
    <x v="1"/>
    <x v="101"/>
    <s v="Jonathan Howell"/>
    <x v="0"/>
    <x v="0"/>
    <s v="Los Angeles"/>
    <s v="California"/>
    <n v="90032"/>
    <x v="1"/>
    <x v="177"/>
    <x v="1"/>
    <x v="4"/>
    <x v="178"/>
    <n v="93.06"/>
  </r>
  <r>
    <n v="219"/>
    <x v="105"/>
    <d v="2017-10-28T00:00:00"/>
    <d v="2017-11-01T00:00:00"/>
    <x v="1"/>
    <x v="101"/>
    <s v="Jonathan Howell"/>
    <x v="0"/>
    <x v="0"/>
    <s v="Los Angeles"/>
    <s v="California"/>
    <n v="90032"/>
    <x v="1"/>
    <x v="202"/>
    <x v="2"/>
    <x v="7"/>
    <x v="203"/>
    <n v="302.37599999999998"/>
  </r>
  <r>
    <n v="220"/>
    <x v="106"/>
    <d v="2016-12-24T00:00:00"/>
    <d v="2016-12-27T00:00:00"/>
    <x v="2"/>
    <x v="102"/>
    <s v="Joni Blumstein"/>
    <x v="0"/>
    <x v="0"/>
    <s v="Dublin"/>
    <s v="Ohio"/>
    <n v="43017"/>
    <x v="3"/>
    <x v="203"/>
    <x v="1"/>
    <x v="13"/>
    <x v="204"/>
    <n v="5.5839999999999996"/>
  </r>
  <r>
    <n v="221"/>
    <x v="106"/>
    <d v="2016-12-24T00:00:00"/>
    <d v="2016-12-27T00:00:00"/>
    <x v="2"/>
    <x v="102"/>
    <s v="Joni Blumstein"/>
    <x v="0"/>
    <x v="0"/>
    <s v="Dublin"/>
    <s v="Ohio"/>
    <n v="43017"/>
    <x v="3"/>
    <x v="204"/>
    <x v="1"/>
    <x v="10"/>
    <x v="205"/>
    <n v="22.704000000000001"/>
  </r>
  <r>
    <n v="222"/>
    <x v="106"/>
    <d v="2016-12-24T00:00:00"/>
    <d v="2016-12-27T00:00:00"/>
    <x v="2"/>
    <x v="102"/>
    <s v="Joni Blumstein"/>
    <x v="0"/>
    <x v="0"/>
    <s v="Dublin"/>
    <s v="Ohio"/>
    <n v="43017"/>
    <x v="3"/>
    <x v="91"/>
    <x v="1"/>
    <x v="8"/>
    <x v="91"/>
    <n v="19.776"/>
  </r>
  <r>
    <n v="223"/>
    <x v="106"/>
    <d v="2016-12-24T00:00:00"/>
    <d v="2016-12-27T00:00:00"/>
    <x v="2"/>
    <x v="102"/>
    <s v="Joni Blumstein"/>
    <x v="0"/>
    <x v="0"/>
    <s v="Dublin"/>
    <s v="Ohio"/>
    <n v="43017"/>
    <x v="3"/>
    <x v="205"/>
    <x v="0"/>
    <x v="5"/>
    <x v="206"/>
    <n v="72.703999999999994"/>
  </r>
  <r>
    <n v="224"/>
    <x v="106"/>
    <d v="2016-12-24T00:00:00"/>
    <d v="2016-12-27T00:00:00"/>
    <x v="2"/>
    <x v="102"/>
    <s v="Joni Blumstein"/>
    <x v="0"/>
    <x v="0"/>
    <s v="Dublin"/>
    <s v="Ohio"/>
    <n v="43017"/>
    <x v="3"/>
    <x v="206"/>
    <x v="2"/>
    <x v="15"/>
    <x v="207"/>
    <n v="479.988"/>
  </r>
  <r>
    <n v="225"/>
    <x v="106"/>
    <d v="2016-12-24T00:00:00"/>
    <d v="2016-12-27T00:00:00"/>
    <x v="2"/>
    <x v="102"/>
    <s v="Joni Blumstein"/>
    <x v="0"/>
    <x v="0"/>
    <s v="Dublin"/>
    <s v="Ohio"/>
    <n v="43017"/>
    <x v="3"/>
    <x v="207"/>
    <x v="1"/>
    <x v="6"/>
    <x v="208"/>
    <n v="27.167999999999999"/>
  </r>
  <r>
    <n v="226"/>
    <x v="107"/>
    <d v="2016-08-09T00:00:00"/>
    <d v="2016-08-16T00:00:00"/>
    <x v="1"/>
    <x v="103"/>
    <s v="David Smith"/>
    <x v="1"/>
    <x v="0"/>
    <s v="Detroit"/>
    <s v="Michigan"/>
    <n v="48227"/>
    <x v="2"/>
    <x v="208"/>
    <x v="1"/>
    <x v="6"/>
    <x v="209"/>
    <n v="2.2000000000000002"/>
  </r>
  <r>
    <n v="227"/>
    <x v="107"/>
    <d v="2016-08-09T00:00:00"/>
    <d v="2016-08-16T00:00:00"/>
    <x v="1"/>
    <x v="103"/>
    <s v="David Smith"/>
    <x v="1"/>
    <x v="0"/>
    <s v="Detroit"/>
    <s v="Michigan"/>
    <n v="48227"/>
    <x v="2"/>
    <x v="209"/>
    <x v="0"/>
    <x v="3"/>
    <x v="210"/>
    <n v="622.45000000000005"/>
  </r>
  <r>
    <n v="228"/>
    <x v="107"/>
    <d v="2016-08-09T00:00:00"/>
    <d v="2016-08-16T00:00:00"/>
    <x v="1"/>
    <x v="103"/>
    <s v="David Smith"/>
    <x v="1"/>
    <x v="0"/>
    <s v="Detroit"/>
    <s v="Michigan"/>
    <n v="48227"/>
    <x v="2"/>
    <x v="210"/>
    <x v="1"/>
    <x v="4"/>
    <x v="211"/>
    <n v="21.98"/>
  </r>
  <r>
    <n v="229"/>
    <x v="108"/>
    <d v="2016-02-28T00:00:00"/>
    <d v="2016-03-04T00:00:00"/>
    <x v="1"/>
    <x v="104"/>
    <s v="Valerie Dominguez"/>
    <x v="0"/>
    <x v="0"/>
    <s v="Columbia"/>
    <s v="Tennessee"/>
    <n v="38401"/>
    <x v="0"/>
    <x v="211"/>
    <x v="0"/>
    <x v="1"/>
    <x v="212"/>
    <n v="161.56800000000001"/>
  </r>
  <r>
    <n v="230"/>
    <x v="108"/>
    <d v="2016-02-28T00:00:00"/>
    <d v="2016-03-04T00:00:00"/>
    <x v="1"/>
    <x v="104"/>
    <s v="Valerie Dominguez"/>
    <x v="0"/>
    <x v="0"/>
    <s v="Columbia"/>
    <s v="Tennessee"/>
    <n v="38401"/>
    <x v="0"/>
    <x v="212"/>
    <x v="0"/>
    <x v="1"/>
    <x v="213"/>
    <n v="389.69600000000003"/>
  </r>
  <r>
    <n v="231"/>
    <x v="109"/>
    <d v="2015-09-13T00:00:00"/>
    <d v="2015-09-17T00:00:00"/>
    <x v="1"/>
    <x v="105"/>
    <s v="Erin Ashbrook"/>
    <x v="1"/>
    <x v="0"/>
    <s v="Charlotte"/>
    <s v="North Carolina"/>
    <n v="28205"/>
    <x v="0"/>
    <x v="213"/>
    <x v="1"/>
    <x v="8"/>
    <x v="214"/>
    <n v="18.648"/>
  </r>
  <r>
    <n v="232"/>
    <x v="110"/>
    <d v="2018-04-07T00:00:00"/>
    <d v="2018-04-12T00:00:00"/>
    <x v="1"/>
    <x v="37"/>
    <s v="Christopher Schild"/>
    <x v="2"/>
    <x v="0"/>
    <s v="Tampa"/>
    <s v="Florida"/>
    <n v="33614"/>
    <x v="0"/>
    <x v="214"/>
    <x v="0"/>
    <x v="3"/>
    <x v="215"/>
    <n v="233.86"/>
  </r>
  <r>
    <n v="233"/>
    <x v="110"/>
    <d v="2018-04-07T00:00:00"/>
    <d v="2018-04-12T00:00:00"/>
    <x v="1"/>
    <x v="37"/>
    <s v="Christopher Schild"/>
    <x v="2"/>
    <x v="0"/>
    <s v="Tampa"/>
    <s v="Florida"/>
    <n v="33614"/>
    <x v="0"/>
    <x v="215"/>
    <x v="0"/>
    <x v="3"/>
    <x v="216"/>
    <n v="620.61450000000002"/>
  </r>
  <r>
    <n v="234"/>
    <x v="110"/>
    <d v="2018-04-07T00:00:00"/>
    <d v="2018-04-12T00:00:00"/>
    <x v="1"/>
    <x v="37"/>
    <s v="Christopher Schild"/>
    <x v="2"/>
    <x v="0"/>
    <s v="Tampa"/>
    <s v="Florida"/>
    <n v="33614"/>
    <x v="0"/>
    <x v="213"/>
    <x v="1"/>
    <x v="8"/>
    <x v="214"/>
    <n v="5.3280000000000003"/>
  </r>
  <r>
    <n v="235"/>
    <x v="110"/>
    <d v="2018-04-07T00:00:00"/>
    <d v="2018-04-12T00:00:00"/>
    <x v="1"/>
    <x v="37"/>
    <s v="Christopher Schild"/>
    <x v="2"/>
    <x v="0"/>
    <s v="Tampa"/>
    <s v="Florida"/>
    <n v="33614"/>
    <x v="0"/>
    <x v="216"/>
    <x v="0"/>
    <x v="5"/>
    <x v="217"/>
    <n v="258.072"/>
  </r>
  <r>
    <n v="236"/>
    <x v="110"/>
    <d v="2018-04-07T00:00:00"/>
    <d v="2018-04-12T00:00:00"/>
    <x v="1"/>
    <x v="37"/>
    <s v="Christopher Schild"/>
    <x v="2"/>
    <x v="0"/>
    <s v="Tampa"/>
    <s v="Florida"/>
    <n v="33614"/>
    <x v="0"/>
    <x v="217"/>
    <x v="2"/>
    <x v="11"/>
    <x v="218"/>
    <n v="617.976"/>
  </r>
  <r>
    <n v="237"/>
    <x v="111"/>
    <d v="2018-11-12T00:00:00"/>
    <d v="2018-11-16T00:00:00"/>
    <x v="1"/>
    <x v="106"/>
    <s v="David Bremer"/>
    <x v="1"/>
    <x v="0"/>
    <s v="Santa Clara"/>
    <s v="California"/>
    <n v="95051"/>
    <x v="1"/>
    <x v="218"/>
    <x v="1"/>
    <x v="10"/>
    <x v="219"/>
    <n v="10.56"/>
  </r>
  <r>
    <n v="238"/>
    <x v="112"/>
    <d v="2017-06-04T00:00:00"/>
    <d v="2017-06-09T00:00:00"/>
    <x v="0"/>
    <x v="107"/>
    <s v="Ken Lonsdale"/>
    <x v="0"/>
    <x v="0"/>
    <s v="Chicago"/>
    <s v="Illinois"/>
    <n v="60610"/>
    <x v="2"/>
    <x v="219"/>
    <x v="1"/>
    <x v="10"/>
    <x v="220"/>
    <n v="25.92"/>
  </r>
  <r>
    <n v="239"/>
    <x v="112"/>
    <d v="2017-06-04T00:00:00"/>
    <d v="2017-06-09T00:00:00"/>
    <x v="0"/>
    <x v="107"/>
    <s v="Ken Lonsdale"/>
    <x v="0"/>
    <x v="0"/>
    <s v="Chicago"/>
    <s v="Illinois"/>
    <n v="60610"/>
    <x v="2"/>
    <x v="220"/>
    <x v="0"/>
    <x v="5"/>
    <x v="221"/>
    <n v="419.68"/>
  </r>
  <r>
    <n v="240"/>
    <x v="112"/>
    <d v="2017-06-04T00:00:00"/>
    <d v="2017-06-09T00:00:00"/>
    <x v="0"/>
    <x v="107"/>
    <s v="Ken Lonsdale"/>
    <x v="0"/>
    <x v="0"/>
    <s v="Chicago"/>
    <s v="Illinois"/>
    <n v="60610"/>
    <x v="2"/>
    <x v="221"/>
    <x v="0"/>
    <x v="5"/>
    <x v="222"/>
    <n v="11.688000000000001"/>
  </r>
  <r>
    <n v="241"/>
    <x v="112"/>
    <d v="2017-06-04T00:00:00"/>
    <d v="2017-06-09T00:00:00"/>
    <x v="0"/>
    <x v="107"/>
    <s v="Ken Lonsdale"/>
    <x v="0"/>
    <x v="0"/>
    <s v="Chicago"/>
    <s v="Illinois"/>
    <n v="60610"/>
    <x v="2"/>
    <x v="222"/>
    <x v="2"/>
    <x v="7"/>
    <x v="223"/>
    <n v="31.984000000000002"/>
  </r>
  <r>
    <n v="242"/>
    <x v="112"/>
    <d v="2017-06-04T00:00:00"/>
    <d v="2017-06-09T00:00:00"/>
    <x v="0"/>
    <x v="107"/>
    <s v="Ken Lonsdale"/>
    <x v="0"/>
    <x v="0"/>
    <s v="Chicago"/>
    <s v="Illinois"/>
    <n v="60610"/>
    <x v="2"/>
    <x v="223"/>
    <x v="0"/>
    <x v="3"/>
    <x v="224"/>
    <n v="177.22499999999999"/>
  </r>
  <r>
    <n v="243"/>
    <x v="112"/>
    <d v="2017-06-04T00:00:00"/>
    <d v="2017-06-09T00:00:00"/>
    <x v="0"/>
    <x v="107"/>
    <s v="Ken Lonsdale"/>
    <x v="0"/>
    <x v="0"/>
    <s v="Chicago"/>
    <s v="Illinois"/>
    <n v="60610"/>
    <x v="2"/>
    <x v="224"/>
    <x v="0"/>
    <x v="5"/>
    <x v="225"/>
    <n v="4.0439999999999996"/>
  </r>
  <r>
    <n v="244"/>
    <x v="112"/>
    <d v="2017-06-04T00:00:00"/>
    <d v="2017-06-09T00:00:00"/>
    <x v="0"/>
    <x v="107"/>
    <s v="Ken Lonsdale"/>
    <x v="0"/>
    <x v="0"/>
    <s v="Chicago"/>
    <s v="Illinois"/>
    <n v="60610"/>
    <x v="2"/>
    <x v="182"/>
    <x v="1"/>
    <x v="6"/>
    <x v="183"/>
    <n v="7.4080000000000004"/>
  </r>
  <r>
    <n v="245"/>
    <x v="113"/>
    <d v="2015-06-01T00:00:00"/>
    <d v="2015-06-06T00:00:00"/>
    <x v="0"/>
    <x v="108"/>
    <s v="Dianna Wilson"/>
    <x v="2"/>
    <x v="0"/>
    <s v="Lakeville"/>
    <s v="Minnesota"/>
    <n v="55044"/>
    <x v="2"/>
    <x v="120"/>
    <x v="0"/>
    <x v="1"/>
    <x v="120"/>
    <n v="2001.86"/>
  </r>
  <r>
    <n v="246"/>
    <x v="113"/>
    <d v="2015-06-01T00:00:00"/>
    <d v="2015-06-06T00:00:00"/>
    <x v="0"/>
    <x v="108"/>
    <s v="Dianna Wilson"/>
    <x v="2"/>
    <x v="0"/>
    <s v="Lakeville"/>
    <s v="Minnesota"/>
    <n v="55044"/>
    <x v="2"/>
    <x v="225"/>
    <x v="1"/>
    <x v="4"/>
    <x v="226"/>
    <n v="166.72"/>
  </r>
  <r>
    <n v="247"/>
    <x v="113"/>
    <d v="2015-06-01T00:00:00"/>
    <d v="2015-06-06T00:00:00"/>
    <x v="0"/>
    <x v="108"/>
    <s v="Dianna Wilson"/>
    <x v="2"/>
    <x v="0"/>
    <s v="Lakeville"/>
    <s v="Minnesota"/>
    <n v="55044"/>
    <x v="2"/>
    <x v="226"/>
    <x v="1"/>
    <x v="10"/>
    <x v="227"/>
    <n v="47.88"/>
  </r>
  <r>
    <n v="248"/>
    <x v="113"/>
    <d v="2015-06-01T00:00:00"/>
    <d v="2015-06-06T00:00:00"/>
    <x v="0"/>
    <x v="108"/>
    <s v="Dianna Wilson"/>
    <x v="2"/>
    <x v="0"/>
    <s v="Lakeville"/>
    <s v="Minnesota"/>
    <n v="55044"/>
    <x v="2"/>
    <x v="227"/>
    <x v="1"/>
    <x v="9"/>
    <x v="228"/>
    <n v="1503.25"/>
  </r>
  <r>
    <n v="249"/>
    <x v="113"/>
    <d v="2015-06-01T00:00:00"/>
    <d v="2015-06-06T00:00:00"/>
    <x v="0"/>
    <x v="108"/>
    <s v="Dianna Wilson"/>
    <x v="2"/>
    <x v="0"/>
    <s v="Lakeville"/>
    <s v="Minnesota"/>
    <n v="55044"/>
    <x v="2"/>
    <x v="180"/>
    <x v="1"/>
    <x v="10"/>
    <x v="181"/>
    <n v="25.92"/>
  </r>
  <r>
    <n v="250"/>
    <x v="114"/>
    <d v="2017-12-10T00:00:00"/>
    <d v="2017-12-15T00:00:00"/>
    <x v="0"/>
    <x v="109"/>
    <s v="Logan Haushalter"/>
    <x v="0"/>
    <x v="0"/>
    <s v="San Francisco"/>
    <s v="California"/>
    <n v="94109"/>
    <x v="1"/>
    <x v="228"/>
    <x v="0"/>
    <x v="1"/>
    <x v="229"/>
    <n v="321.56799999999998"/>
  </r>
  <r>
    <n v="251"/>
    <x v="115"/>
    <d v="2017-09-11T00:00:00"/>
    <d v="2017-09-17T00:00:00"/>
    <x v="1"/>
    <x v="110"/>
    <s v="Kelly Collister"/>
    <x v="0"/>
    <x v="0"/>
    <s v="San Diego"/>
    <s v="California"/>
    <n v="92037"/>
    <x v="1"/>
    <x v="229"/>
    <x v="1"/>
    <x v="10"/>
    <x v="230"/>
    <n v="7.61"/>
  </r>
  <r>
    <n v="252"/>
    <x v="115"/>
    <d v="2017-09-11T00:00:00"/>
    <d v="2017-09-17T00:00:00"/>
    <x v="1"/>
    <x v="110"/>
    <s v="Kelly Collister"/>
    <x v="0"/>
    <x v="0"/>
    <s v="San Diego"/>
    <s v="California"/>
    <n v="92037"/>
    <x v="1"/>
    <x v="217"/>
    <x v="2"/>
    <x v="11"/>
    <x v="218"/>
    <n v="3347.37"/>
  </r>
  <r>
    <n v="253"/>
    <x v="116"/>
    <d v="2017-12-10T00:00:00"/>
    <d v="2017-12-13T00:00:00"/>
    <x v="2"/>
    <x v="111"/>
    <s v="Delfina Latchford"/>
    <x v="0"/>
    <x v="0"/>
    <s v="New York City"/>
    <s v="New York"/>
    <n v="10024"/>
    <x v="3"/>
    <x v="230"/>
    <x v="1"/>
    <x v="4"/>
    <x v="231"/>
    <n v="80.58"/>
  </r>
  <r>
    <n v="254"/>
    <x v="116"/>
    <d v="2017-12-10T00:00:00"/>
    <d v="2017-12-13T00:00:00"/>
    <x v="2"/>
    <x v="111"/>
    <s v="Delfina Latchford"/>
    <x v="0"/>
    <x v="0"/>
    <s v="New York City"/>
    <s v="New York"/>
    <n v="10024"/>
    <x v="3"/>
    <x v="231"/>
    <x v="1"/>
    <x v="12"/>
    <x v="232"/>
    <n v="361.92"/>
  </r>
  <r>
    <n v="255"/>
    <x v="117"/>
    <d v="2016-11-28T00:00:00"/>
    <d v="2016-12-04T00:00:00"/>
    <x v="1"/>
    <x v="112"/>
    <s v="Dan Reichenbach"/>
    <x v="1"/>
    <x v="0"/>
    <s v="Chicago"/>
    <s v="Illinois"/>
    <n v="60623"/>
    <x v="2"/>
    <x v="224"/>
    <x v="0"/>
    <x v="5"/>
    <x v="225"/>
    <n v="12.132"/>
  </r>
  <r>
    <n v="256"/>
    <x v="117"/>
    <d v="2016-11-28T00:00:00"/>
    <d v="2016-12-04T00:00:00"/>
    <x v="1"/>
    <x v="112"/>
    <s v="Dan Reichenbach"/>
    <x v="1"/>
    <x v="0"/>
    <s v="Chicago"/>
    <s v="Illinois"/>
    <n v="60623"/>
    <x v="2"/>
    <x v="232"/>
    <x v="1"/>
    <x v="4"/>
    <x v="233"/>
    <n v="82.367999999999995"/>
  </r>
  <r>
    <n v="257"/>
    <x v="117"/>
    <d v="2016-11-28T00:00:00"/>
    <d v="2016-12-04T00:00:00"/>
    <x v="1"/>
    <x v="112"/>
    <s v="Dan Reichenbach"/>
    <x v="1"/>
    <x v="0"/>
    <s v="Chicago"/>
    <s v="Illinois"/>
    <n v="60623"/>
    <x v="2"/>
    <x v="146"/>
    <x v="1"/>
    <x v="4"/>
    <x v="147"/>
    <n v="53.92"/>
  </r>
  <r>
    <n v="258"/>
    <x v="117"/>
    <d v="2016-11-28T00:00:00"/>
    <d v="2016-12-04T00:00:00"/>
    <x v="1"/>
    <x v="112"/>
    <s v="Dan Reichenbach"/>
    <x v="1"/>
    <x v="0"/>
    <s v="Chicago"/>
    <s v="Illinois"/>
    <n v="60623"/>
    <x v="2"/>
    <x v="233"/>
    <x v="2"/>
    <x v="7"/>
    <x v="234"/>
    <n v="647.904"/>
  </r>
  <r>
    <n v="259"/>
    <x v="118"/>
    <d v="2018-12-01T00:00:00"/>
    <d v="2018-12-03T00:00:00"/>
    <x v="0"/>
    <x v="113"/>
    <s v="Craig Carreira"/>
    <x v="0"/>
    <x v="0"/>
    <s v="New York City"/>
    <s v="New York"/>
    <n v="10009"/>
    <x v="3"/>
    <x v="234"/>
    <x v="2"/>
    <x v="11"/>
    <x v="235"/>
    <n v="20.37"/>
  </r>
  <r>
    <n v="260"/>
    <x v="118"/>
    <d v="2018-12-01T00:00:00"/>
    <d v="2018-12-03T00:00:00"/>
    <x v="0"/>
    <x v="113"/>
    <s v="Craig Carreira"/>
    <x v="0"/>
    <x v="0"/>
    <s v="New York City"/>
    <s v="New York"/>
    <n v="10009"/>
    <x v="3"/>
    <x v="235"/>
    <x v="1"/>
    <x v="4"/>
    <x v="236"/>
    <n v="221.55"/>
  </r>
  <r>
    <n v="261"/>
    <x v="118"/>
    <d v="2018-12-01T00:00:00"/>
    <d v="2018-12-03T00:00:00"/>
    <x v="0"/>
    <x v="113"/>
    <s v="Craig Carreira"/>
    <x v="0"/>
    <x v="0"/>
    <s v="New York City"/>
    <s v="New York"/>
    <n v="10009"/>
    <x v="3"/>
    <x v="236"/>
    <x v="1"/>
    <x v="8"/>
    <x v="237"/>
    <n v="17.52"/>
  </r>
  <r>
    <n v="262"/>
    <x v="119"/>
    <d v="2018-06-08T00:00:00"/>
    <d v="2018-06-12T00:00:00"/>
    <x v="1"/>
    <x v="114"/>
    <s v="Dorris liebe"/>
    <x v="1"/>
    <x v="0"/>
    <s v="Pasadena"/>
    <s v="Texas"/>
    <n v="77506"/>
    <x v="2"/>
    <x v="237"/>
    <x v="1"/>
    <x v="9"/>
    <x v="238"/>
    <n v="1.6240000000000001"/>
  </r>
  <r>
    <n v="263"/>
    <x v="120"/>
    <d v="2015-09-19T00:00:00"/>
    <d v="2015-09-21T00:00:00"/>
    <x v="0"/>
    <x v="115"/>
    <s v="Sean Braxton"/>
    <x v="1"/>
    <x v="0"/>
    <s v="Houston"/>
    <s v="Texas"/>
    <n v="77036"/>
    <x v="2"/>
    <x v="155"/>
    <x v="2"/>
    <x v="15"/>
    <x v="156"/>
    <n v="3059.982"/>
  </r>
  <r>
    <n v="264"/>
    <x v="120"/>
    <d v="2015-09-19T00:00:00"/>
    <d v="2015-09-21T00:00:00"/>
    <x v="0"/>
    <x v="115"/>
    <s v="Sean Braxton"/>
    <x v="1"/>
    <x v="0"/>
    <s v="Houston"/>
    <s v="Texas"/>
    <n v="77036"/>
    <x v="2"/>
    <x v="238"/>
    <x v="2"/>
    <x v="15"/>
    <x v="239"/>
    <n v="2519.9580000000001"/>
  </r>
  <r>
    <n v="265"/>
    <x v="121"/>
    <d v="2017-06-06T00:00:00"/>
    <d v="2017-06-13T00:00:00"/>
    <x v="1"/>
    <x v="116"/>
    <s v="Roy Collins"/>
    <x v="0"/>
    <x v="0"/>
    <s v="Chicago"/>
    <s v="Illinois"/>
    <n v="60610"/>
    <x v="2"/>
    <x v="239"/>
    <x v="2"/>
    <x v="7"/>
    <x v="240"/>
    <n v="328.22399999999999"/>
  </r>
  <r>
    <n v="266"/>
    <x v="122"/>
    <d v="2016-11-10T00:00:00"/>
    <d v="2016-11-15T00:00:00"/>
    <x v="1"/>
    <x v="117"/>
    <s v="Alan Hwang"/>
    <x v="0"/>
    <x v="0"/>
    <s v="Brentwood"/>
    <s v="California"/>
    <n v="94513"/>
    <x v="1"/>
    <x v="240"/>
    <x v="2"/>
    <x v="11"/>
    <x v="241"/>
    <n v="79.900000000000006"/>
  </r>
  <r>
    <n v="267"/>
    <x v="123"/>
    <d v="2018-06-16T00:00:00"/>
    <d v="2018-06-20T00:00:00"/>
    <x v="1"/>
    <x v="118"/>
    <s v="Claudia Bergmann"/>
    <x v="1"/>
    <x v="0"/>
    <s v="Chapel Hill"/>
    <s v="North Carolina"/>
    <n v="27514"/>
    <x v="0"/>
    <x v="241"/>
    <x v="1"/>
    <x v="6"/>
    <x v="242"/>
    <n v="14.016"/>
  </r>
  <r>
    <n v="268"/>
    <x v="124"/>
    <d v="2017-01-22T00:00:00"/>
    <d v="2017-01-28T00:00:00"/>
    <x v="1"/>
    <x v="38"/>
    <s v="Paul Gonzalez"/>
    <x v="0"/>
    <x v="0"/>
    <s v="Morristown"/>
    <s v="New Jersey"/>
    <n v="7960"/>
    <x v="3"/>
    <x v="242"/>
    <x v="1"/>
    <x v="13"/>
    <x v="243"/>
    <n v="7.56"/>
  </r>
  <r>
    <n v="269"/>
    <x v="125"/>
    <d v="2018-12-09T00:00:00"/>
    <d v="2018-12-13T00:00:00"/>
    <x v="1"/>
    <x v="119"/>
    <s v="Christine Abelman"/>
    <x v="1"/>
    <x v="0"/>
    <s v="Cincinnati"/>
    <s v="Ohio"/>
    <n v="45231"/>
    <x v="3"/>
    <x v="243"/>
    <x v="1"/>
    <x v="4"/>
    <x v="244"/>
    <n v="37.207999999999998"/>
  </r>
  <r>
    <n v="270"/>
    <x v="125"/>
    <d v="2018-12-09T00:00:00"/>
    <d v="2018-12-13T00:00:00"/>
    <x v="1"/>
    <x v="119"/>
    <s v="Christine Abelman"/>
    <x v="1"/>
    <x v="0"/>
    <s v="Cincinnati"/>
    <s v="Ohio"/>
    <n v="45231"/>
    <x v="3"/>
    <x v="244"/>
    <x v="1"/>
    <x v="12"/>
    <x v="245"/>
    <n v="57.576000000000001"/>
  </r>
  <r>
    <n v="271"/>
    <x v="126"/>
    <d v="2018-12-28T00:00:00"/>
    <d v="2019-01-02T00:00:00"/>
    <x v="0"/>
    <x v="120"/>
    <s v="Kristen Hastings"/>
    <x v="1"/>
    <x v="0"/>
    <s v="San Francisco"/>
    <s v="California"/>
    <n v="94110"/>
    <x v="1"/>
    <x v="245"/>
    <x v="1"/>
    <x v="4"/>
    <x v="246"/>
    <n v="725.84"/>
  </r>
  <r>
    <n v="272"/>
    <x v="127"/>
    <d v="2016-07-30T00:00:00"/>
    <d v="2016-07-31T00:00:00"/>
    <x v="2"/>
    <x v="66"/>
    <s v="Helen Andreada"/>
    <x v="0"/>
    <x v="0"/>
    <s v="San Francisco"/>
    <s v="California"/>
    <n v="94109"/>
    <x v="1"/>
    <x v="246"/>
    <x v="2"/>
    <x v="11"/>
    <x v="247"/>
    <n v="209.93"/>
  </r>
  <r>
    <n v="273"/>
    <x v="127"/>
    <d v="2016-07-30T00:00:00"/>
    <d v="2016-07-31T00:00:00"/>
    <x v="2"/>
    <x v="66"/>
    <s v="Helen Andreada"/>
    <x v="0"/>
    <x v="0"/>
    <s v="San Francisco"/>
    <s v="California"/>
    <n v="94109"/>
    <x v="1"/>
    <x v="247"/>
    <x v="0"/>
    <x v="5"/>
    <x v="248"/>
    <n v="5.28"/>
  </r>
  <r>
    <n v="274"/>
    <x v="127"/>
    <d v="2016-07-30T00:00:00"/>
    <d v="2016-07-31T00:00:00"/>
    <x v="2"/>
    <x v="66"/>
    <s v="Helen Andreada"/>
    <x v="0"/>
    <x v="0"/>
    <s v="San Francisco"/>
    <s v="California"/>
    <n v="94109"/>
    <x v="1"/>
    <x v="248"/>
    <x v="1"/>
    <x v="8"/>
    <x v="249"/>
    <n v="10.92"/>
  </r>
  <r>
    <n v="275"/>
    <x v="128"/>
    <d v="2018-09-16T00:00:00"/>
    <d v="2018-09-17T00:00:00"/>
    <x v="2"/>
    <x v="121"/>
    <s v="Barry Blumstein"/>
    <x v="1"/>
    <x v="0"/>
    <s v="Inglewood"/>
    <s v="California"/>
    <n v="90301"/>
    <x v="1"/>
    <x v="249"/>
    <x v="1"/>
    <x v="10"/>
    <x v="250"/>
    <n v="8.82"/>
  </r>
  <r>
    <n v="276"/>
    <x v="128"/>
    <d v="2018-09-16T00:00:00"/>
    <d v="2018-09-17T00:00:00"/>
    <x v="2"/>
    <x v="121"/>
    <s v="Barry Blumstein"/>
    <x v="1"/>
    <x v="0"/>
    <s v="Inglewood"/>
    <s v="California"/>
    <n v="90301"/>
    <x v="1"/>
    <x v="250"/>
    <x v="1"/>
    <x v="6"/>
    <x v="251"/>
    <n v="5.98"/>
  </r>
  <r>
    <n v="277"/>
    <x v="129"/>
    <d v="2018-10-13T00:00:00"/>
    <d v="2018-10-17T00:00:00"/>
    <x v="1"/>
    <x v="122"/>
    <s v="Andrew Gjertsen"/>
    <x v="1"/>
    <x v="0"/>
    <s v="Philadelphia"/>
    <s v="Pennsylvania"/>
    <n v="19140"/>
    <x v="3"/>
    <x v="251"/>
    <x v="1"/>
    <x v="10"/>
    <x v="252"/>
    <n v="11.648"/>
  </r>
  <r>
    <n v="278"/>
    <x v="129"/>
    <d v="2018-10-13T00:00:00"/>
    <d v="2018-10-17T00:00:00"/>
    <x v="1"/>
    <x v="122"/>
    <s v="Andrew Gjertsen"/>
    <x v="1"/>
    <x v="0"/>
    <s v="Philadelphia"/>
    <s v="Pennsylvania"/>
    <n v="19140"/>
    <x v="3"/>
    <x v="252"/>
    <x v="1"/>
    <x v="10"/>
    <x v="253"/>
    <n v="18.175999999999998"/>
  </r>
  <r>
    <n v="279"/>
    <x v="129"/>
    <d v="2018-10-13T00:00:00"/>
    <d v="2018-10-17T00:00:00"/>
    <x v="1"/>
    <x v="122"/>
    <s v="Andrew Gjertsen"/>
    <x v="1"/>
    <x v="0"/>
    <s v="Philadelphia"/>
    <s v="Pennsylvania"/>
    <n v="19140"/>
    <x v="3"/>
    <x v="253"/>
    <x v="1"/>
    <x v="4"/>
    <x v="254"/>
    <n v="59.712000000000003"/>
  </r>
  <r>
    <n v="280"/>
    <x v="129"/>
    <d v="2018-10-13T00:00:00"/>
    <d v="2018-10-17T00:00:00"/>
    <x v="1"/>
    <x v="122"/>
    <s v="Andrew Gjertsen"/>
    <x v="1"/>
    <x v="0"/>
    <s v="Philadelphia"/>
    <s v="Pennsylvania"/>
    <n v="19140"/>
    <x v="3"/>
    <x v="254"/>
    <x v="1"/>
    <x v="2"/>
    <x v="255"/>
    <n v="24.84"/>
  </r>
  <r>
    <n v="281"/>
    <x v="130"/>
    <d v="2016-09-26T00:00:00"/>
    <d v="2016-09-28T00:00:00"/>
    <x v="0"/>
    <x v="56"/>
    <s v="Steven Cartwright"/>
    <x v="0"/>
    <x v="0"/>
    <s v="Houston"/>
    <s v="Texas"/>
    <n v="77070"/>
    <x v="2"/>
    <x v="255"/>
    <x v="1"/>
    <x v="8"/>
    <x v="256"/>
    <n v="2.08"/>
  </r>
  <r>
    <n v="282"/>
    <x v="130"/>
    <d v="2016-09-26T00:00:00"/>
    <d v="2016-09-28T00:00:00"/>
    <x v="0"/>
    <x v="56"/>
    <s v="Steven Cartwright"/>
    <x v="0"/>
    <x v="0"/>
    <s v="Houston"/>
    <s v="Texas"/>
    <n v="77070"/>
    <x v="2"/>
    <x v="256"/>
    <x v="2"/>
    <x v="7"/>
    <x v="257"/>
    <n v="1114.4000000000001"/>
  </r>
  <r>
    <n v="283"/>
    <x v="131"/>
    <d v="2016-11-02T00:00:00"/>
    <d v="2016-11-06T00:00:00"/>
    <x v="1"/>
    <x v="123"/>
    <s v="Jas O'Carroll"/>
    <x v="0"/>
    <x v="0"/>
    <s v="Los Angeles"/>
    <s v="California"/>
    <n v="90004"/>
    <x v="1"/>
    <x v="257"/>
    <x v="0"/>
    <x v="3"/>
    <x v="258"/>
    <n v="1038.8399999999999"/>
  </r>
  <r>
    <n v="284"/>
    <x v="132"/>
    <d v="2016-09-26T00:00:00"/>
    <d v="2016-10-02T00:00:00"/>
    <x v="1"/>
    <x v="14"/>
    <s v="Tracy Blumstein"/>
    <x v="0"/>
    <x v="0"/>
    <s v="Portland"/>
    <s v="Oregon"/>
    <n v="97206"/>
    <x v="1"/>
    <x v="258"/>
    <x v="1"/>
    <x v="10"/>
    <x v="33"/>
    <n v="141.76"/>
  </r>
  <r>
    <n v="285"/>
    <x v="132"/>
    <d v="2016-09-26T00:00:00"/>
    <d v="2016-10-02T00:00:00"/>
    <x v="1"/>
    <x v="14"/>
    <s v="Tracy Blumstein"/>
    <x v="0"/>
    <x v="0"/>
    <s v="Portland"/>
    <s v="Oregon"/>
    <n v="97206"/>
    <x v="1"/>
    <x v="259"/>
    <x v="2"/>
    <x v="11"/>
    <x v="259"/>
    <n v="239.8"/>
  </r>
  <r>
    <n v="286"/>
    <x v="132"/>
    <d v="2016-09-26T00:00:00"/>
    <d v="2016-10-02T00:00:00"/>
    <x v="1"/>
    <x v="14"/>
    <s v="Tracy Blumstein"/>
    <x v="0"/>
    <x v="0"/>
    <s v="Portland"/>
    <s v="Oregon"/>
    <n v="97206"/>
    <x v="1"/>
    <x v="260"/>
    <x v="1"/>
    <x v="10"/>
    <x v="260"/>
    <n v="31.103999999999999"/>
  </r>
  <r>
    <n v="287"/>
    <x v="133"/>
    <d v="2017-12-18T00:00:00"/>
    <d v="2017-12-20T00:00:00"/>
    <x v="0"/>
    <x v="124"/>
    <s v="Alan Haines"/>
    <x v="1"/>
    <x v="0"/>
    <s v="Tamarac"/>
    <s v="Florida"/>
    <n v="33319"/>
    <x v="0"/>
    <x v="261"/>
    <x v="1"/>
    <x v="8"/>
    <x v="261"/>
    <n v="254.05799999999999"/>
  </r>
  <r>
    <n v="288"/>
    <x v="133"/>
    <d v="2017-12-18T00:00:00"/>
    <d v="2017-12-20T00:00:00"/>
    <x v="0"/>
    <x v="124"/>
    <s v="Alan Haines"/>
    <x v="1"/>
    <x v="0"/>
    <s v="Tamarac"/>
    <s v="Florida"/>
    <n v="33319"/>
    <x v="0"/>
    <x v="166"/>
    <x v="1"/>
    <x v="9"/>
    <x v="167"/>
    <n v="194.52799999999999"/>
  </r>
  <r>
    <n v="289"/>
    <x v="133"/>
    <d v="2017-12-18T00:00:00"/>
    <d v="2017-12-20T00:00:00"/>
    <x v="0"/>
    <x v="124"/>
    <s v="Alan Haines"/>
    <x v="1"/>
    <x v="0"/>
    <s v="Tamarac"/>
    <s v="Florida"/>
    <n v="33319"/>
    <x v="0"/>
    <x v="262"/>
    <x v="1"/>
    <x v="14"/>
    <x v="262"/>
    <n v="961.48"/>
  </r>
  <r>
    <n v="290"/>
    <x v="134"/>
    <d v="2017-11-20T00:00:00"/>
    <d v="2017-11-24T00:00:00"/>
    <x v="0"/>
    <x v="125"/>
    <s v="Nick Zandusky"/>
    <x v="2"/>
    <x v="0"/>
    <s v="Columbus"/>
    <s v="Ohio"/>
    <n v="43229"/>
    <x v="3"/>
    <x v="263"/>
    <x v="1"/>
    <x v="13"/>
    <x v="263"/>
    <n v="19.096"/>
  </r>
  <r>
    <n v="291"/>
    <x v="134"/>
    <d v="2017-11-20T00:00:00"/>
    <d v="2017-11-24T00:00:00"/>
    <x v="0"/>
    <x v="125"/>
    <s v="Nick Zandusky"/>
    <x v="2"/>
    <x v="0"/>
    <s v="Columbus"/>
    <s v="Ohio"/>
    <n v="43229"/>
    <x v="3"/>
    <x v="264"/>
    <x v="1"/>
    <x v="2"/>
    <x v="264"/>
    <n v="18.495999999999999"/>
  </r>
  <r>
    <n v="292"/>
    <x v="134"/>
    <d v="2017-11-20T00:00:00"/>
    <d v="2017-11-24T00:00:00"/>
    <x v="0"/>
    <x v="125"/>
    <s v="Nick Zandusky"/>
    <x v="2"/>
    <x v="0"/>
    <s v="Columbus"/>
    <s v="Ohio"/>
    <n v="43229"/>
    <x v="3"/>
    <x v="265"/>
    <x v="2"/>
    <x v="11"/>
    <x v="265"/>
    <n v="255.98400000000001"/>
  </r>
  <r>
    <n v="293"/>
    <x v="134"/>
    <d v="2017-11-20T00:00:00"/>
    <d v="2017-11-24T00:00:00"/>
    <x v="0"/>
    <x v="125"/>
    <s v="Nick Zandusky"/>
    <x v="2"/>
    <x v="0"/>
    <s v="Columbus"/>
    <s v="Ohio"/>
    <n v="43229"/>
    <x v="3"/>
    <x v="266"/>
    <x v="0"/>
    <x v="0"/>
    <x v="266"/>
    <n v="86.97"/>
  </r>
  <r>
    <n v="294"/>
    <x v="135"/>
    <d v="2015-12-26T00:00:00"/>
    <d v="2015-12-28T00:00:00"/>
    <x v="2"/>
    <x v="126"/>
    <s v="Kelly Lampkin"/>
    <x v="1"/>
    <x v="0"/>
    <s v="Colorado Springs"/>
    <s v="Colorado"/>
    <n v="80906"/>
    <x v="1"/>
    <x v="267"/>
    <x v="0"/>
    <x v="5"/>
    <x v="267"/>
    <n v="300.416"/>
  </r>
  <r>
    <n v="295"/>
    <x v="135"/>
    <d v="2015-12-26T00:00:00"/>
    <d v="2015-12-28T00:00:00"/>
    <x v="2"/>
    <x v="126"/>
    <s v="Kelly Lampkin"/>
    <x v="1"/>
    <x v="0"/>
    <s v="Colorado Springs"/>
    <s v="Colorado"/>
    <n v="80906"/>
    <x v="1"/>
    <x v="268"/>
    <x v="0"/>
    <x v="1"/>
    <x v="268"/>
    <n v="230.352"/>
  </r>
  <r>
    <n v="296"/>
    <x v="135"/>
    <d v="2015-12-26T00:00:00"/>
    <d v="2015-12-28T00:00:00"/>
    <x v="2"/>
    <x v="126"/>
    <s v="Kelly Lampkin"/>
    <x v="1"/>
    <x v="0"/>
    <s v="Colorado Springs"/>
    <s v="Colorado"/>
    <n v="80906"/>
    <x v="1"/>
    <x v="269"/>
    <x v="0"/>
    <x v="5"/>
    <x v="269"/>
    <n v="218.352"/>
  </r>
  <r>
    <n v="297"/>
    <x v="135"/>
    <d v="2015-12-26T00:00:00"/>
    <d v="2015-12-28T00:00:00"/>
    <x v="2"/>
    <x v="126"/>
    <s v="Kelly Lampkin"/>
    <x v="1"/>
    <x v="0"/>
    <s v="Colorado Springs"/>
    <s v="Colorado"/>
    <n v="80906"/>
    <x v="1"/>
    <x v="270"/>
    <x v="1"/>
    <x v="8"/>
    <x v="270"/>
    <n v="78.599999999999994"/>
  </r>
  <r>
    <n v="298"/>
    <x v="135"/>
    <d v="2015-12-26T00:00:00"/>
    <d v="2015-12-28T00:00:00"/>
    <x v="2"/>
    <x v="126"/>
    <s v="Kelly Lampkin"/>
    <x v="1"/>
    <x v="0"/>
    <s v="Colorado Springs"/>
    <s v="Colorado"/>
    <n v="80906"/>
    <x v="1"/>
    <x v="271"/>
    <x v="1"/>
    <x v="13"/>
    <x v="271"/>
    <n v="27.552"/>
  </r>
  <r>
    <n v="299"/>
    <x v="136"/>
    <d v="2017-10-28T00:00:00"/>
    <d v="2017-11-03T00:00:00"/>
    <x v="1"/>
    <x v="63"/>
    <s v="Jonathan Doherty"/>
    <x v="1"/>
    <x v="0"/>
    <s v="Belleville"/>
    <s v="New Jersey"/>
    <n v="7109"/>
    <x v="3"/>
    <x v="272"/>
    <x v="1"/>
    <x v="10"/>
    <x v="272"/>
    <n v="32.4"/>
  </r>
  <r>
    <n v="300"/>
    <x v="136"/>
    <d v="2017-10-28T00:00:00"/>
    <d v="2017-11-03T00:00:00"/>
    <x v="1"/>
    <x v="63"/>
    <s v="Jonathan Doherty"/>
    <x v="1"/>
    <x v="0"/>
    <s v="Belleville"/>
    <s v="New Jersey"/>
    <n v="7109"/>
    <x v="3"/>
    <x v="273"/>
    <x v="1"/>
    <x v="4"/>
    <x v="273"/>
    <n v="1082.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F2DAC-9549-436C-8212-F61999481DC2}"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M5" firstHeaderRow="1" firstDataRow="1" firstDataCol="1"/>
  <pivotFields count="18">
    <pivotField showAll="0"/>
    <pivotField showAll="0">
      <items count="138">
        <item x="75"/>
        <item x="7"/>
        <item x="29"/>
        <item x="70"/>
        <item x="135"/>
        <item x="56"/>
        <item x="3"/>
        <item x="82"/>
        <item x="90"/>
        <item x="113"/>
        <item x="98"/>
        <item x="37"/>
        <item x="81"/>
        <item x="94"/>
        <item x="9"/>
        <item x="22"/>
        <item x="88"/>
        <item x="87"/>
        <item x="8"/>
        <item x="103"/>
        <item x="92"/>
        <item x="12"/>
        <item x="57"/>
        <item x="69"/>
        <item x="24"/>
        <item x="17"/>
        <item x="74"/>
        <item x="78"/>
        <item x="73"/>
        <item x="53"/>
        <item x="132"/>
        <item x="131"/>
        <item x="93"/>
        <item x="27"/>
        <item x="86"/>
        <item x="104"/>
        <item x="44"/>
        <item x="38"/>
        <item x="122"/>
        <item x="127"/>
        <item x="107"/>
        <item x="106"/>
        <item x="19"/>
        <item x="59"/>
        <item x="89"/>
        <item x="25"/>
        <item x="31"/>
        <item x="43"/>
        <item x="66"/>
        <item x="134"/>
        <item x="124"/>
        <item x="26"/>
        <item x="133"/>
        <item x="80"/>
        <item x="76"/>
        <item x="71"/>
        <item x="16"/>
        <item x="21"/>
        <item x="30"/>
        <item x="13"/>
        <item x="121"/>
        <item x="36"/>
        <item x="55"/>
        <item x="50"/>
        <item x="105"/>
        <item x="10"/>
        <item x="1"/>
        <item x="136"/>
        <item x="65"/>
        <item x="115"/>
        <item x="116"/>
        <item x="48"/>
        <item x="0"/>
        <item x="79"/>
        <item x="114"/>
        <item x="91"/>
        <item x="112"/>
        <item x="49"/>
        <item x="72"/>
        <item x="42"/>
        <item x="5"/>
        <item x="77"/>
        <item x="23"/>
        <item x="97"/>
        <item x="67"/>
        <item x="95"/>
        <item x="15"/>
        <item x="101"/>
        <item x="4"/>
        <item x="32"/>
        <item x="128"/>
        <item x="52"/>
        <item x="18"/>
        <item x="100"/>
        <item x="129"/>
        <item x="102"/>
        <item x="123"/>
        <item x="20"/>
        <item x="40"/>
        <item x="54"/>
        <item x="68"/>
        <item x="41"/>
        <item x="47"/>
        <item x="111"/>
        <item x="46"/>
        <item x="118"/>
        <item x="126"/>
        <item x="83"/>
        <item x="120"/>
        <item x="61"/>
        <item x="35"/>
        <item x="60"/>
        <item x="109"/>
        <item x="85"/>
        <item x="2"/>
        <item x="6"/>
        <item x="33"/>
        <item x="58"/>
        <item x="108"/>
        <item x="14"/>
        <item x="51"/>
        <item x="117"/>
        <item x="130"/>
        <item x="28"/>
        <item x="63"/>
        <item x="110"/>
        <item x="62"/>
        <item x="45"/>
        <item x="99"/>
        <item x="34"/>
        <item x="39"/>
        <item x="96"/>
        <item x="125"/>
        <item x="84"/>
        <item x="119"/>
        <item x="11"/>
        <item x="64"/>
        <item t="default"/>
      </items>
    </pivotField>
    <pivotField numFmtId="14" showAll="0"/>
    <pivotField numFmtId="14" showAll="0"/>
    <pivotField showAll="0"/>
    <pivotField showAll="0">
      <items count="128">
        <item x="4"/>
        <item x="57"/>
        <item x="8"/>
        <item x="122"/>
        <item x="124"/>
        <item x="117"/>
        <item x="87"/>
        <item x="121"/>
        <item x="3"/>
        <item x="78"/>
        <item x="29"/>
        <item x="94"/>
        <item x="119"/>
        <item x="90"/>
        <item x="118"/>
        <item x="113"/>
        <item x="0"/>
        <item x="52"/>
        <item x="79"/>
        <item x="37"/>
        <item x="51"/>
        <item x="72"/>
        <item x="106"/>
        <item x="54"/>
        <item x="83"/>
        <item x="111"/>
        <item x="114"/>
        <item x="35"/>
        <item x="24"/>
        <item x="112"/>
        <item x="103"/>
        <item x="1"/>
        <item x="108"/>
        <item x="61"/>
        <item x="105"/>
        <item x="12"/>
        <item x="13"/>
        <item x="75"/>
        <item x="45"/>
        <item x="20"/>
        <item x="92"/>
        <item x="86"/>
        <item x="55"/>
        <item x="16"/>
        <item x="39"/>
        <item x="47"/>
        <item x="66"/>
        <item x="96"/>
        <item x="31"/>
        <item x="6"/>
        <item x="5"/>
        <item x="80"/>
        <item x="102"/>
        <item x="36"/>
        <item x="63"/>
        <item x="32"/>
        <item x="68"/>
        <item x="101"/>
        <item x="98"/>
        <item x="82"/>
        <item x="49"/>
        <item x="25"/>
        <item x="123"/>
        <item x="40"/>
        <item x="41"/>
        <item x="10"/>
        <item x="33"/>
        <item x="110"/>
        <item x="30"/>
        <item x="44"/>
        <item x="120"/>
        <item x="126"/>
        <item x="107"/>
        <item x="27"/>
        <item x="48"/>
        <item x="62"/>
        <item x="18"/>
        <item x="95"/>
        <item x="97"/>
        <item x="23"/>
        <item x="109"/>
        <item x="60"/>
        <item x="15"/>
        <item x="93"/>
        <item x="67"/>
        <item x="77"/>
        <item x="88"/>
        <item x="99"/>
        <item x="89"/>
        <item x="71"/>
        <item x="73"/>
        <item x="125"/>
        <item x="21"/>
        <item x="50"/>
        <item x="58"/>
        <item x="38"/>
        <item x="7"/>
        <item x="43"/>
        <item x="22"/>
        <item x="28"/>
        <item x="19"/>
        <item x="46"/>
        <item x="42"/>
        <item x="116"/>
        <item x="53"/>
        <item x="76"/>
        <item x="84"/>
        <item x="115"/>
        <item x="56"/>
        <item x="34"/>
        <item x="11"/>
        <item x="65"/>
        <item x="64"/>
        <item x="81"/>
        <item x="85"/>
        <item x="17"/>
        <item x="2"/>
        <item x="70"/>
        <item x="26"/>
        <item x="14"/>
        <item x="59"/>
        <item x="74"/>
        <item x="69"/>
        <item x="104"/>
        <item x="91"/>
        <item x="100"/>
        <item x="9"/>
        <item t="default"/>
      </items>
    </pivotField>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7">
        <item x="11"/>
        <item x="9"/>
        <item x="6"/>
        <item x="8"/>
        <item x="0"/>
        <item x="1"/>
        <item x="12"/>
        <item x="13"/>
        <item x="5"/>
        <item x="2"/>
        <item x="15"/>
        <item x="10"/>
        <item x="7"/>
        <item x="4"/>
        <item x="14"/>
        <item x="3"/>
        <item t="default"/>
      </items>
    </pivotField>
    <pivotField showAll="0"/>
    <pivotField dataField="1" showAll="0"/>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179E07-597C-4090-BC3C-F55AA52F852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5" firstHeaderRow="1" firstDataRow="1" firstDataCol="1"/>
  <pivotFields count="18">
    <pivotField showAll="0"/>
    <pivotField showAll="0"/>
    <pivotField numFmtId="14" showAll="0"/>
    <pivotField numFmtId="14" showAll="0"/>
    <pivotField axis="axisRow"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275">
        <item x="0"/>
        <item x="37"/>
        <item x="178"/>
        <item x="199"/>
        <item x="266"/>
        <item x="26"/>
        <item x="1"/>
        <item x="70"/>
        <item x="83"/>
        <item x="64"/>
        <item x="268"/>
        <item x="23"/>
        <item x="228"/>
        <item x="51"/>
        <item x="163"/>
        <item x="56"/>
        <item x="120"/>
        <item x="38"/>
        <item x="157"/>
        <item x="212"/>
        <item x="167"/>
        <item x="211"/>
        <item x="205"/>
        <item x="74"/>
        <item x="63"/>
        <item x="138"/>
        <item x="220"/>
        <item x="93"/>
        <item x="5"/>
        <item x="50"/>
        <item x="107"/>
        <item x="116"/>
        <item x="224"/>
        <item x="269"/>
        <item x="191"/>
        <item x="76"/>
        <item x="247"/>
        <item x="35"/>
        <item x="71"/>
        <item x="124"/>
        <item x="90"/>
        <item x="101"/>
        <item x="216"/>
        <item x="267"/>
        <item x="221"/>
        <item x="28"/>
        <item x="3"/>
        <item x="10"/>
        <item x="214"/>
        <item x="114"/>
        <item x="223"/>
        <item x="257"/>
        <item x="215"/>
        <item x="209"/>
        <item x="188"/>
        <item x="121"/>
        <item x="142"/>
        <item x="95"/>
        <item x="164"/>
        <item x="137"/>
        <item x="22"/>
        <item x="77"/>
        <item x="237"/>
        <item x="14"/>
        <item x="159"/>
        <item x="166"/>
        <item x="9"/>
        <item x="227"/>
        <item x="190"/>
        <item x="189"/>
        <item x="21"/>
        <item x="108"/>
        <item x="105"/>
        <item x="134"/>
        <item x="208"/>
        <item x="130"/>
        <item x="250"/>
        <item x="147"/>
        <item x="32"/>
        <item x="59"/>
        <item x="169"/>
        <item x="207"/>
        <item x="79"/>
        <item x="158"/>
        <item x="65"/>
        <item x="6"/>
        <item x="18"/>
        <item x="181"/>
        <item x="241"/>
        <item x="183"/>
        <item x="30"/>
        <item x="154"/>
        <item x="182"/>
        <item x="87"/>
        <item x="185"/>
        <item x="27"/>
        <item x="15"/>
        <item x="261"/>
        <item x="61"/>
        <item x="58"/>
        <item x="31"/>
        <item x="24"/>
        <item x="213"/>
        <item x="94"/>
        <item x="175"/>
        <item x="20"/>
        <item x="78"/>
        <item x="248"/>
        <item x="98"/>
        <item x="141"/>
        <item x="102"/>
        <item x="91"/>
        <item x="122"/>
        <item x="44"/>
        <item x="236"/>
        <item x="115"/>
        <item x="13"/>
        <item x="8"/>
        <item x="109"/>
        <item x="153"/>
        <item x="73"/>
        <item x="48"/>
        <item x="270"/>
        <item x="68"/>
        <item x="92"/>
        <item x="132"/>
        <item x="255"/>
        <item x="81"/>
        <item x="29"/>
        <item x="152"/>
        <item x="118"/>
        <item x="113"/>
        <item x="111"/>
        <item x="36"/>
        <item x="231"/>
        <item x="135"/>
        <item x="244"/>
        <item x="195"/>
        <item x="52"/>
        <item x="203"/>
        <item x="110"/>
        <item x="127"/>
        <item x="263"/>
        <item x="131"/>
        <item x="242"/>
        <item x="271"/>
        <item x="85"/>
        <item x="2"/>
        <item x="254"/>
        <item x="148"/>
        <item x="49"/>
        <item x="165"/>
        <item x="198"/>
        <item x="264"/>
        <item x="180"/>
        <item x="33"/>
        <item x="88"/>
        <item x="258"/>
        <item x="67"/>
        <item x="57"/>
        <item x="161"/>
        <item x="251"/>
        <item x="162"/>
        <item x="55"/>
        <item x="129"/>
        <item x="128"/>
        <item x="144"/>
        <item x="272"/>
        <item x="145"/>
        <item x="12"/>
        <item x="126"/>
        <item x="218"/>
        <item x="249"/>
        <item x="187"/>
        <item x="186"/>
        <item x="150"/>
        <item x="89"/>
        <item x="96"/>
        <item x="219"/>
        <item x="62"/>
        <item x="204"/>
        <item x="99"/>
        <item x="226"/>
        <item x="260"/>
        <item x="136"/>
        <item x="252"/>
        <item x="229"/>
        <item x="69"/>
        <item x="112"/>
        <item x="17"/>
        <item x="54"/>
        <item x="75"/>
        <item x="193"/>
        <item x="4"/>
        <item x="117"/>
        <item x="253"/>
        <item x="156"/>
        <item x="230"/>
        <item x="177"/>
        <item x="184"/>
        <item x="196"/>
        <item x="146"/>
        <item x="45"/>
        <item x="225"/>
        <item x="80"/>
        <item x="210"/>
        <item x="273"/>
        <item x="235"/>
        <item x="123"/>
        <item x="245"/>
        <item x="42"/>
        <item x="86"/>
        <item x="170"/>
        <item x="41"/>
        <item x="82"/>
        <item x="72"/>
        <item x="243"/>
        <item x="16"/>
        <item x="232"/>
        <item x="262"/>
        <item x="133"/>
        <item x="168"/>
        <item x="201"/>
        <item x="43"/>
        <item x="234"/>
        <item x="106"/>
        <item x="197"/>
        <item x="100"/>
        <item x="97"/>
        <item x="259"/>
        <item x="84"/>
        <item x="265"/>
        <item x="46"/>
        <item x="176"/>
        <item x="174"/>
        <item x="25"/>
        <item x="103"/>
        <item x="246"/>
        <item x="151"/>
        <item x="217"/>
        <item x="240"/>
        <item x="60"/>
        <item x="171"/>
        <item x="155"/>
        <item x="200"/>
        <item x="206"/>
        <item x="238"/>
        <item x="222"/>
        <item x="139"/>
        <item x="39"/>
        <item x="143"/>
        <item x="239"/>
        <item x="140"/>
        <item x="179"/>
        <item x="233"/>
        <item x="194"/>
        <item x="256"/>
        <item x="192"/>
        <item x="19"/>
        <item x="11"/>
        <item x="7"/>
        <item x="125"/>
        <item x="53"/>
        <item x="202"/>
        <item x="66"/>
        <item x="104"/>
        <item x="172"/>
        <item x="119"/>
        <item x="160"/>
        <item x="47"/>
        <item x="40"/>
        <item x="149"/>
        <item x="173"/>
        <item x="34"/>
        <item t="default"/>
      </items>
    </pivotField>
    <pivotField showAll="0"/>
    <pivotField showAll="0">
      <items count="17">
        <item x="11"/>
        <item x="9"/>
        <item x="6"/>
        <item x="8"/>
        <item x="0"/>
        <item x="1"/>
        <item x="12"/>
        <item x="13"/>
        <item x="5"/>
        <item x="2"/>
        <item x="15"/>
        <item x="10"/>
        <item x="7"/>
        <item x="4"/>
        <item x="14"/>
        <item x="3"/>
        <item t="default"/>
      </items>
    </pivotField>
    <pivotField showAll="0">
      <items count="275">
        <item x="36"/>
        <item x="77"/>
        <item x="182"/>
        <item x="74"/>
        <item x="93"/>
        <item x="237"/>
        <item x="167"/>
        <item x="31"/>
        <item x="61"/>
        <item x="22"/>
        <item x="169"/>
        <item x="162"/>
        <item x="227"/>
        <item x="253"/>
        <item x="246"/>
        <item x="203"/>
        <item x="42"/>
        <item x="52"/>
        <item x="196"/>
        <item x="263"/>
        <item x="250"/>
        <item x="126"/>
        <item x="141"/>
        <item x="57"/>
        <item x="116"/>
        <item x="53"/>
        <item x="173"/>
        <item x="37"/>
        <item x="179"/>
        <item x="150"/>
        <item x="49"/>
        <item x="255"/>
        <item x="199"/>
        <item x="166"/>
        <item x="85"/>
        <item x="264"/>
        <item x="149"/>
        <item x="68"/>
        <item x="109"/>
        <item x="122"/>
        <item x="78"/>
        <item x="98"/>
        <item x="96"/>
        <item x="176"/>
        <item x="27"/>
        <item x="102"/>
        <item x="243"/>
        <item x="233"/>
        <item x="143"/>
        <item x="9"/>
        <item x="210"/>
        <item x="121"/>
        <item x="258"/>
        <item x="155"/>
        <item x="183"/>
        <item x="184"/>
        <item x="257"/>
        <item x="30"/>
        <item x="189"/>
        <item x="190"/>
        <item x="3"/>
        <item x="216"/>
        <item x="215"/>
        <item x="0"/>
        <item x="266"/>
        <item x="10"/>
        <item x="201"/>
        <item x="240"/>
        <item x="19"/>
        <item x="48"/>
        <item x="117"/>
        <item x="136"/>
        <item x="185"/>
        <item x="101"/>
        <item x="8"/>
        <item x="33"/>
        <item x="73"/>
        <item x="225"/>
        <item x="192"/>
        <item x="41"/>
        <item x="125"/>
        <item x="269"/>
        <item x="76"/>
        <item x="5"/>
        <item x="4"/>
        <item x="86"/>
        <item x="254"/>
        <item x="35"/>
        <item x="238"/>
        <item x="191"/>
        <item x="206"/>
        <item x="95"/>
        <item x="13"/>
        <item x="231"/>
        <item x="17"/>
        <item x="134"/>
        <item x="92"/>
        <item x="115"/>
        <item x="214"/>
        <item x="142"/>
        <item x="261"/>
        <item x="133"/>
        <item x="34"/>
        <item x="120"/>
        <item x="268"/>
        <item x="23"/>
        <item x="38"/>
        <item x="229"/>
        <item x="51"/>
        <item x="212"/>
        <item x="213"/>
        <item x="124"/>
        <item x="64"/>
        <item x="164"/>
        <item x="118"/>
        <item x="197"/>
        <item x="45"/>
        <item x="70"/>
        <item x="14"/>
        <item x="54"/>
        <item x="1"/>
        <item x="114"/>
        <item x="228"/>
        <item x="267"/>
        <item x="28"/>
        <item x="175"/>
        <item x="65"/>
        <item x="108"/>
        <item x="180"/>
        <item x="270"/>
        <item x="91"/>
        <item x="132"/>
        <item x="46"/>
        <item x="25"/>
        <item x="172"/>
        <item x="144"/>
        <item x="161"/>
        <item x="81"/>
        <item x="165"/>
        <item x="160"/>
        <item x="224"/>
        <item x="119"/>
        <item x="11"/>
        <item x="152"/>
        <item x="156"/>
        <item x="47"/>
        <item x="247"/>
        <item x="100"/>
        <item x="234"/>
        <item x="265"/>
        <item x="106"/>
        <item x="84"/>
        <item x="218"/>
        <item x="50"/>
        <item x="32"/>
        <item x="63"/>
        <item x="221"/>
        <item x="107"/>
        <item x="198"/>
        <item x="103"/>
        <item x="259"/>
        <item x="241"/>
        <item x="7"/>
        <item x="66"/>
        <item x="148"/>
        <item x="21"/>
        <item x="6"/>
        <item x="251"/>
        <item x="18"/>
        <item x="135"/>
        <item x="105"/>
        <item x="174"/>
        <item x="193"/>
        <item x="83"/>
        <item x="56"/>
        <item x="204"/>
        <item x="110"/>
        <item x="200"/>
        <item x="168"/>
        <item x="195"/>
        <item x="40"/>
        <item x="178"/>
        <item x="140"/>
        <item x="39"/>
        <item x="58"/>
        <item x="29"/>
        <item x="252"/>
        <item x="59"/>
        <item x="262"/>
        <item x="79"/>
        <item x="186"/>
        <item x="249"/>
        <item x="223"/>
        <item x="242"/>
        <item x="245"/>
        <item x="111"/>
        <item x="248"/>
        <item x="26"/>
        <item x="211"/>
        <item x="256"/>
        <item x="235"/>
        <item x="158"/>
        <item x="244"/>
        <item x="236"/>
        <item x="82"/>
        <item x="72"/>
        <item x="226"/>
        <item x="177"/>
        <item x="97"/>
        <item x="131"/>
        <item x="170"/>
        <item x="159"/>
        <item x="209"/>
        <item x="138"/>
        <item x="2"/>
        <item x="90"/>
        <item x="139"/>
        <item x="75"/>
        <item x="67"/>
        <item x="202"/>
        <item x="80"/>
        <item x="145"/>
        <item x="188"/>
        <item x="157"/>
        <item x="104"/>
        <item x="208"/>
        <item x="153"/>
        <item x="222"/>
        <item x="128"/>
        <item x="15"/>
        <item x="16"/>
        <item x="207"/>
        <item x="69"/>
        <item x="217"/>
        <item x="171"/>
        <item x="147"/>
        <item x="71"/>
        <item x="194"/>
        <item x="273"/>
        <item x="123"/>
        <item x="94"/>
        <item x="87"/>
        <item x="113"/>
        <item x="232"/>
        <item x="99"/>
        <item x="43"/>
        <item x="60"/>
        <item x="271"/>
        <item x="205"/>
        <item x="24"/>
        <item x="20"/>
        <item x="154"/>
        <item x="44"/>
        <item x="187"/>
        <item x="230"/>
        <item x="130"/>
        <item x="146"/>
        <item x="137"/>
        <item x="163"/>
        <item x="127"/>
        <item x="151"/>
        <item x="112"/>
        <item x="62"/>
        <item x="129"/>
        <item x="220"/>
        <item x="12"/>
        <item x="88"/>
        <item x="89"/>
        <item x="181"/>
        <item x="260"/>
        <item x="272"/>
        <item x="55"/>
        <item x="219"/>
        <item x="239"/>
        <item t="default"/>
      </items>
    </pivotField>
    <pivotField dataField="1" showAll="0"/>
  </pivotFields>
  <rowFields count="1">
    <field x="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2E3C6B-12DD-4DC2-BC4B-35B8DDB13265}"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G5" firstHeaderRow="1" firstDataRow="1" firstDataCol="1"/>
  <pivotFields count="18">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7">
        <item x="11"/>
        <item x="9"/>
        <item x="6"/>
        <item x="8"/>
        <item x="0"/>
        <item x="1"/>
        <item x="12"/>
        <item x="13"/>
        <item x="5"/>
        <item x="2"/>
        <item x="15"/>
        <item x="10"/>
        <item x="7"/>
        <item x="4"/>
        <item x="14"/>
        <item x="3"/>
        <item t="default"/>
      </items>
    </pivotField>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4" count="1" selected="0">
            <x v="0"/>
          </reference>
        </references>
      </pivotArea>
    </chartFormat>
    <chartFormat chart="3" format="3">
      <pivotArea type="data" outline="0" fieldPosition="0">
        <references count="2">
          <reference field="4294967294" count="1" selected="0">
            <x v="0"/>
          </reference>
          <reference field="14" count="1" selected="0">
            <x v="1"/>
          </reference>
        </references>
      </pivotArea>
    </chartFormat>
    <chartFormat chart="3" format="4">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6EDFBD-4BF8-463C-A09D-FDB96E8054EC}"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18">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items count="17">
        <item x="11"/>
        <item x="9"/>
        <item x="6"/>
        <item x="8"/>
        <item x="0"/>
        <item x="1"/>
        <item x="12"/>
        <item x="13"/>
        <item x="5"/>
        <item x="2"/>
        <item x="15"/>
        <item x="10"/>
        <item x="7"/>
        <item x="4"/>
        <item x="14"/>
        <item x="3"/>
        <item t="default"/>
      </items>
    </pivotField>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465BD2-E5D6-4C58-8BBC-DCEB346EBF7A}"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AD09E8-A053-4B1B-ADED-706506FFD788}" sourceName="Region">
  <pivotTables>
    <pivotTable tabId="7" name="PivotTable1"/>
    <pivotTable tabId="7" name="PivotTable2"/>
    <pivotTable tabId="7" name="PivotTable3"/>
    <pivotTable tabId="7" name="PivotTable4"/>
  </pivotTables>
  <data>
    <tabular pivotCacheId="1508504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0FDF5B3-D091-4A03-87F1-643D3ACDB764}" sourceName="Segment">
  <pivotTables>
    <pivotTable tabId="7" name="PivotTable2"/>
    <pivotTable tabId="7" name="PivotTable1"/>
    <pivotTable tabId="7" name="PivotTable3"/>
    <pivotTable tabId="7" name="PivotTable4"/>
  </pivotTables>
  <data>
    <tabular pivotCacheId="15085048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675F6B9-55FC-437C-99A1-2DDB3A84004A}" sourceName="Sub-Category">
  <pivotTables>
    <pivotTable tabId="7" name="PivotTable3"/>
    <pivotTable tabId="7" name="PivotTable1"/>
    <pivotTable tabId="7" name="PivotTable2"/>
    <pivotTable tabId="7" name="PivotTable4"/>
  </pivotTables>
  <data>
    <tabular pivotCacheId="150850485">
      <items count="16">
        <i x="11" s="1"/>
        <i x="9" s="1"/>
        <i x="6" s="1"/>
        <i x="8" s="1"/>
        <i x="0" s="1"/>
        <i x="1"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54391C-D036-46B5-B22E-10DC6E61925E}" cache="Slicer_Region" caption="Region" rowHeight="244336"/>
  <slicer name="Segment" xr10:uid="{FE995758-B204-4815-97B5-058A48FFC99A}" cache="Slicer_Segment" caption="Segment" rowHeight="244336"/>
  <slicer name="Sub-Category" xr10:uid="{F292F22C-BEF0-4F16-9F36-67EC27A668D3}" cache="Slicer_Sub_Category" caption="Sub-Category" rowHeight="2443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2C433E-A014-4651-80F0-074E48B21ED5}" name="train" displayName="train" ref="A1:R301" tableType="queryTable" totalsRowShown="0">
  <autoFilter ref="A1:R301" xr:uid="{472C433E-A014-4651-80F0-074E48B21ED5}"/>
  <tableColumns count="18">
    <tableColumn id="1" xr3:uid="{292DF644-DDA2-4565-8B5D-0859D13E3B21}" uniqueName="1" name="Row ID" queryTableFieldId="1"/>
    <tableColumn id="2" xr3:uid="{5391BB7F-4CBC-4D7A-8196-B6CB856B93E9}" uniqueName="2" name="Order ID" queryTableFieldId="2" dataDxfId="14"/>
    <tableColumn id="3" xr3:uid="{D1643B43-B967-4308-8851-53C28ABE83C6}" uniqueName="3" name="Order Date" queryTableFieldId="3" dataDxfId="13"/>
    <tableColumn id="4" xr3:uid="{E396B50E-168D-4182-B088-D97BD31FDC4D}" uniqueName="4" name="Ship Date" queryTableFieldId="4" dataDxfId="12"/>
    <tableColumn id="5" xr3:uid="{B2C72E67-BCB5-4460-9D8B-9FDCE5442DA9}" uniqueName="5" name="Ship Mode" queryTableFieldId="5" dataDxfId="11"/>
    <tableColumn id="6" xr3:uid="{0715C3F9-E8F0-4928-A41C-BF9FAFFE544D}" uniqueName="6" name="Customer ID" queryTableFieldId="6" dataDxfId="10"/>
    <tableColumn id="7" xr3:uid="{64F3035B-7376-4961-A7F2-17F048D5D790}" uniqueName="7" name="Customer Name" queryTableFieldId="7" dataDxfId="9"/>
    <tableColumn id="8" xr3:uid="{D6ECBC4A-A9BF-422F-9BF8-D9C122DFD140}" uniqueName="8" name="Segment" queryTableFieldId="8" dataDxfId="8"/>
    <tableColumn id="9" xr3:uid="{4E929E12-01DD-4ABA-931D-A4B556026024}" uniqueName="9" name="Country" queryTableFieldId="9" dataDxfId="7"/>
    <tableColumn id="10" xr3:uid="{E5754466-F631-424C-BDEC-AD0F295C4836}" uniqueName="10" name="City" queryTableFieldId="10" dataDxfId="6"/>
    <tableColumn id="11" xr3:uid="{A1409B71-8CDF-4567-A0BD-C52C6BF3D356}" uniqueName="11" name="State" queryTableFieldId="11" dataDxfId="5"/>
    <tableColumn id="12" xr3:uid="{D7AE1AF4-7279-43A0-A976-B9495842643C}" uniqueName="12" name="Postal Code" queryTableFieldId="12"/>
    <tableColumn id="13" xr3:uid="{1BAB3BFE-BE0C-486A-B45D-7AA0282F0591}" uniqueName="13" name="Region" queryTableFieldId="13" dataDxfId="4"/>
    <tableColumn id="14" xr3:uid="{BCF5DF2C-C051-4ACA-84AD-B717B1462AFD}" uniqueName="14" name="Product ID" queryTableFieldId="14" dataDxfId="3"/>
    <tableColumn id="15" xr3:uid="{FEA19453-0837-4E50-8CEC-B6026CB8639C}" uniqueName="15" name="Category" queryTableFieldId="15" dataDxfId="2"/>
    <tableColumn id="16" xr3:uid="{DDE921B9-83B2-42F2-9F03-B3740A477A96}" uniqueName="16" name="Sub-Category" queryTableFieldId="16" dataDxfId="1"/>
    <tableColumn id="17" xr3:uid="{A1585976-0949-4D7A-906E-D6CBB7DA1D9A}" uniqueName="17" name="Product Name" queryTableFieldId="17" dataDxfId="0"/>
    <tableColumn id="18" xr3:uid="{9A87F209-1CFE-4745-977E-3FC333DD87A6}"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83B9-0406-4087-80ED-072EA54915DA}">
  <dimension ref="A1:R301"/>
  <sheetViews>
    <sheetView tabSelected="1" workbookViewId="0">
      <selection activeCell="C23" sqref="C23"/>
    </sheetView>
  </sheetViews>
  <sheetFormatPr defaultRowHeight="15.05" x14ac:dyDescent="0.3"/>
  <cols>
    <col min="1" max="1" width="9" bestFit="1" customWidth="1"/>
    <col min="2" max="2" width="14.6640625" bestFit="1" customWidth="1"/>
    <col min="3" max="3" width="12.21875" bestFit="1" customWidth="1"/>
    <col min="4" max="4" width="11.109375" bestFit="1" customWidth="1"/>
    <col min="5" max="5" width="12.77734375" bestFit="1" customWidth="1"/>
    <col min="6" max="6" width="13.44140625" bestFit="1" customWidth="1"/>
    <col min="7" max="7" width="17.33203125" bestFit="1" customWidth="1"/>
    <col min="8" max="8" width="11.33203125" bestFit="1" customWidth="1"/>
    <col min="9" max="9" width="11.88671875" bestFit="1" customWidth="1"/>
    <col min="10" max="10" width="14.77734375" bestFit="1" customWidth="1"/>
    <col min="11" max="11" width="13.109375" bestFit="1" customWidth="1"/>
    <col min="12" max="12" width="13" bestFit="1" customWidth="1"/>
    <col min="14" max="14" width="16.33203125" bestFit="1" customWidth="1"/>
    <col min="15" max="15" width="13.109375" bestFit="1" customWidth="1"/>
    <col min="16" max="16" width="14.5546875" bestFit="1" customWidth="1"/>
    <col min="17" max="17" width="80.88671875" bestFit="1" customWidth="1"/>
    <col min="18" max="18" width="9" bestFit="1" customWidth="1"/>
  </cols>
  <sheetData>
    <row r="1" spans="1:18" x14ac:dyDescent="0.3">
      <c r="A1" t="s">
        <v>11</v>
      </c>
      <c r="B1" t="s">
        <v>1</v>
      </c>
      <c r="C1" t="s">
        <v>12</v>
      </c>
      <c r="D1" t="s">
        <v>13</v>
      </c>
      <c r="E1" t="s">
        <v>14</v>
      </c>
      <c r="F1" t="s">
        <v>3</v>
      </c>
      <c r="G1" t="s">
        <v>6</v>
      </c>
      <c r="H1" t="s">
        <v>15</v>
      </c>
      <c r="I1" t="s">
        <v>16</v>
      </c>
      <c r="J1" t="s">
        <v>17</v>
      </c>
      <c r="K1" t="s">
        <v>18</v>
      </c>
      <c r="L1" t="s">
        <v>19</v>
      </c>
      <c r="M1" t="s">
        <v>7</v>
      </c>
      <c r="N1" t="s">
        <v>2</v>
      </c>
      <c r="O1" t="s">
        <v>4</v>
      </c>
      <c r="P1" t="s">
        <v>20</v>
      </c>
      <c r="Q1" t="s">
        <v>21</v>
      </c>
      <c r="R1" t="s">
        <v>0</v>
      </c>
    </row>
    <row r="2" spans="1:18" x14ac:dyDescent="0.3">
      <c r="A2">
        <v>1</v>
      </c>
      <c r="B2" s="1" t="s">
        <v>22</v>
      </c>
      <c r="C2" s="2">
        <v>43047</v>
      </c>
      <c r="D2" s="2">
        <v>43050</v>
      </c>
      <c r="E2" s="1" t="s">
        <v>23</v>
      </c>
      <c r="F2" s="1" t="s">
        <v>24</v>
      </c>
      <c r="G2" s="1" t="s">
        <v>25</v>
      </c>
      <c r="H2" s="1" t="s">
        <v>26</v>
      </c>
      <c r="I2" s="1" t="s">
        <v>27</v>
      </c>
      <c r="J2" s="1" t="s">
        <v>28</v>
      </c>
      <c r="K2" s="1" t="s">
        <v>29</v>
      </c>
      <c r="L2">
        <v>42420</v>
      </c>
      <c r="M2" s="1" t="s">
        <v>8</v>
      </c>
      <c r="N2" s="1" t="s">
        <v>30</v>
      </c>
      <c r="O2" s="1" t="s">
        <v>5</v>
      </c>
      <c r="P2" s="1" t="s">
        <v>31</v>
      </c>
      <c r="Q2" s="1" t="s">
        <v>32</v>
      </c>
      <c r="R2">
        <v>261.95999999999998</v>
      </c>
    </row>
    <row r="3" spans="1:18" x14ac:dyDescent="0.3">
      <c r="A3">
        <v>2</v>
      </c>
      <c r="B3" s="1" t="s">
        <v>22</v>
      </c>
      <c r="C3" s="2">
        <v>43047</v>
      </c>
      <c r="D3" s="2">
        <v>43050</v>
      </c>
      <c r="E3" s="1" t="s">
        <v>23</v>
      </c>
      <c r="F3" s="1" t="s">
        <v>24</v>
      </c>
      <c r="G3" s="1" t="s">
        <v>25</v>
      </c>
      <c r="H3" s="1" t="s">
        <v>26</v>
      </c>
      <c r="I3" s="1" t="s">
        <v>27</v>
      </c>
      <c r="J3" s="1" t="s">
        <v>28</v>
      </c>
      <c r="K3" s="1" t="s">
        <v>29</v>
      </c>
      <c r="L3">
        <v>42420</v>
      </c>
      <c r="M3" s="1" t="s">
        <v>8</v>
      </c>
      <c r="N3" s="1" t="s">
        <v>33</v>
      </c>
      <c r="O3" s="1" t="s">
        <v>5</v>
      </c>
      <c r="P3" s="1" t="s">
        <v>34</v>
      </c>
      <c r="Q3" s="1" t="s">
        <v>35</v>
      </c>
      <c r="R3">
        <v>731.94</v>
      </c>
    </row>
    <row r="4" spans="1:18" x14ac:dyDescent="0.3">
      <c r="A4">
        <v>3</v>
      </c>
      <c r="B4" s="1" t="s">
        <v>36</v>
      </c>
      <c r="C4" s="2">
        <v>42898</v>
      </c>
      <c r="D4" s="2">
        <v>42902</v>
      </c>
      <c r="E4" s="1" t="s">
        <v>23</v>
      </c>
      <c r="F4" s="1" t="s">
        <v>37</v>
      </c>
      <c r="G4" s="1" t="s">
        <v>38</v>
      </c>
      <c r="H4" s="1" t="s">
        <v>39</v>
      </c>
      <c r="I4" s="1" t="s">
        <v>27</v>
      </c>
      <c r="J4" s="1" t="s">
        <v>40</v>
      </c>
      <c r="K4" s="1" t="s">
        <v>41</v>
      </c>
      <c r="L4">
        <v>90036</v>
      </c>
      <c r="M4" s="1" t="s">
        <v>9</v>
      </c>
      <c r="N4" s="1" t="s">
        <v>42</v>
      </c>
      <c r="O4" s="1" t="s">
        <v>43</v>
      </c>
      <c r="P4" s="1" t="s">
        <v>44</v>
      </c>
      <c r="Q4" s="1" t="s">
        <v>45</v>
      </c>
      <c r="R4">
        <v>14.62</v>
      </c>
    </row>
    <row r="5" spans="1:18" x14ac:dyDescent="0.3">
      <c r="A5">
        <v>4</v>
      </c>
      <c r="B5" s="1" t="s">
        <v>46</v>
      </c>
      <c r="C5" s="2">
        <v>42654</v>
      </c>
      <c r="D5" s="2">
        <v>42661</v>
      </c>
      <c r="E5" s="1" t="s">
        <v>47</v>
      </c>
      <c r="F5" s="1" t="s">
        <v>48</v>
      </c>
      <c r="G5" s="1" t="s">
        <v>49</v>
      </c>
      <c r="H5" s="1" t="s">
        <v>26</v>
      </c>
      <c r="I5" s="1" t="s">
        <v>27</v>
      </c>
      <c r="J5" s="1" t="s">
        <v>50</v>
      </c>
      <c r="K5" s="1" t="s">
        <v>51</v>
      </c>
      <c r="L5">
        <v>33311</v>
      </c>
      <c r="M5" s="1" t="s">
        <v>8</v>
      </c>
      <c r="N5" s="1" t="s">
        <v>52</v>
      </c>
      <c r="O5" s="1" t="s">
        <v>5</v>
      </c>
      <c r="P5" s="1" t="s">
        <v>53</v>
      </c>
      <c r="Q5" s="1" t="s">
        <v>54</v>
      </c>
      <c r="R5">
        <v>957.57749999999999</v>
      </c>
    </row>
    <row r="6" spans="1:18" x14ac:dyDescent="0.3">
      <c r="A6">
        <v>5</v>
      </c>
      <c r="B6" s="1" t="s">
        <v>46</v>
      </c>
      <c r="C6" s="2">
        <v>42654</v>
      </c>
      <c r="D6" s="2">
        <v>42661</v>
      </c>
      <c r="E6" s="1" t="s">
        <v>47</v>
      </c>
      <c r="F6" s="1" t="s">
        <v>48</v>
      </c>
      <c r="G6" s="1" t="s">
        <v>49</v>
      </c>
      <c r="H6" s="1" t="s">
        <v>26</v>
      </c>
      <c r="I6" s="1" t="s">
        <v>27</v>
      </c>
      <c r="J6" s="1" t="s">
        <v>50</v>
      </c>
      <c r="K6" s="1" t="s">
        <v>51</v>
      </c>
      <c r="L6">
        <v>33311</v>
      </c>
      <c r="M6" s="1" t="s">
        <v>8</v>
      </c>
      <c r="N6" s="1" t="s">
        <v>55</v>
      </c>
      <c r="O6" s="1" t="s">
        <v>43</v>
      </c>
      <c r="P6" s="1" t="s">
        <v>56</v>
      </c>
      <c r="Q6" s="1" t="s">
        <v>57</v>
      </c>
      <c r="R6">
        <v>22.367999999999999</v>
      </c>
    </row>
    <row r="7" spans="1:18" x14ac:dyDescent="0.3">
      <c r="A7">
        <v>6</v>
      </c>
      <c r="B7" s="1" t="s">
        <v>58</v>
      </c>
      <c r="C7" s="2">
        <v>42164</v>
      </c>
      <c r="D7" s="2">
        <v>42169</v>
      </c>
      <c r="E7" s="1" t="s">
        <v>47</v>
      </c>
      <c r="F7" s="1" t="s">
        <v>59</v>
      </c>
      <c r="G7" s="1" t="s">
        <v>60</v>
      </c>
      <c r="H7" s="1" t="s">
        <v>26</v>
      </c>
      <c r="I7" s="1" t="s">
        <v>27</v>
      </c>
      <c r="J7" s="1" t="s">
        <v>40</v>
      </c>
      <c r="K7" s="1" t="s">
        <v>41</v>
      </c>
      <c r="L7">
        <v>90032</v>
      </c>
      <c r="M7" s="1" t="s">
        <v>9</v>
      </c>
      <c r="N7" s="1" t="s">
        <v>61</v>
      </c>
      <c r="O7" s="1" t="s">
        <v>5</v>
      </c>
      <c r="P7" s="1" t="s">
        <v>62</v>
      </c>
      <c r="Q7" s="1" t="s">
        <v>63</v>
      </c>
      <c r="R7">
        <v>48.86</v>
      </c>
    </row>
    <row r="8" spans="1:18" x14ac:dyDescent="0.3">
      <c r="A8">
        <v>7</v>
      </c>
      <c r="B8" s="1" t="s">
        <v>58</v>
      </c>
      <c r="C8" s="2">
        <v>42164</v>
      </c>
      <c r="D8" s="2">
        <v>42169</v>
      </c>
      <c r="E8" s="1" t="s">
        <v>47</v>
      </c>
      <c r="F8" s="1" t="s">
        <v>59</v>
      </c>
      <c r="G8" s="1" t="s">
        <v>60</v>
      </c>
      <c r="H8" s="1" t="s">
        <v>26</v>
      </c>
      <c r="I8" s="1" t="s">
        <v>27</v>
      </c>
      <c r="J8" s="1" t="s">
        <v>40</v>
      </c>
      <c r="K8" s="1" t="s">
        <v>41</v>
      </c>
      <c r="L8">
        <v>90032</v>
      </c>
      <c r="M8" s="1" t="s">
        <v>9</v>
      </c>
      <c r="N8" s="1" t="s">
        <v>64</v>
      </c>
      <c r="O8" s="1" t="s">
        <v>43</v>
      </c>
      <c r="P8" s="1" t="s">
        <v>65</v>
      </c>
      <c r="Q8" s="1" t="s">
        <v>66</v>
      </c>
      <c r="R8">
        <v>7.28</v>
      </c>
    </row>
    <row r="9" spans="1:18" x14ac:dyDescent="0.3">
      <c r="A9">
        <v>8</v>
      </c>
      <c r="B9" s="1" t="s">
        <v>58</v>
      </c>
      <c r="C9" s="2">
        <v>42164</v>
      </c>
      <c r="D9" s="2">
        <v>42169</v>
      </c>
      <c r="E9" s="1" t="s">
        <v>47</v>
      </c>
      <c r="F9" s="1" t="s">
        <v>59</v>
      </c>
      <c r="G9" s="1" t="s">
        <v>60</v>
      </c>
      <c r="H9" s="1" t="s">
        <v>26</v>
      </c>
      <c r="I9" s="1" t="s">
        <v>27</v>
      </c>
      <c r="J9" s="1" t="s">
        <v>40</v>
      </c>
      <c r="K9" s="1" t="s">
        <v>41</v>
      </c>
      <c r="L9">
        <v>90032</v>
      </c>
      <c r="M9" s="1" t="s">
        <v>9</v>
      </c>
      <c r="N9" s="1" t="s">
        <v>67</v>
      </c>
      <c r="O9" s="1" t="s">
        <v>68</v>
      </c>
      <c r="P9" s="1" t="s">
        <v>69</v>
      </c>
      <c r="Q9" s="1" t="s">
        <v>70</v>
      </c>
      <c r="R9">
        <v>907.15200000000004</v>
      </c>
    </row>
    <row r="10" spans="1:18" x14ac:dyDescent="0.3">
      <c r="A10">
        <v>9</v>
      </c>
      <c r="B10" s="1" t="s">
        <v>58</v>
      </c>
      <c r="C10" s="2">
        <v>42164</v>
      </c>
      <c r="D10" s="2">
        <v>42169</v>
      </c>
      <c r="E10" s="1" t="s">
        <v>47</v>
      </c>
      <c r="F10" s="1" t="s">
        <v>59</v>
      </c>
      <c r="G10" s="1" t="s">
        <v>60</v>
      </c>
      <c r="H10" s="1" t="s">
        <v>26</v>
      </c>
      <c r="I10" s="1" t="s">
        <v>27</v>
      </c>
      <c r="J10" s="1" t="s">
        <v>40</v>
      </c>
      <c r="K10" s="1" t="s">
        <v>41</v>
      </c>
      <c r="L10">
        <v>90032</v>
      </c>
      <c r="M10" s="1" t="s">
        <v>9</v>
      </c>
      <c r="N10" s="1" t="s">
        <v>71</v>
      </c>
      <c r="O10" s="1" t="s">
        <v>43</v>
      </c>
      <c r="P10" s="1" t="s">
        <v>72</v>
      </c>
      <c r="Q10" s="1" t="s">
        <v>73</v>
      </c>
      <c r="R10">
        <v>18.504000000000001</v>
      </c>
    </row>
    <row r="11" spans="1:18" x14ac:dyDescent="0.3">
      <c r="A11">
        <v>10</v>
      </c>
      <c r="B11" s="1" t="s">
        <v>58</v>
      </c>
      <c r="C11" s="2">
        <v>42164</v>
      </c>
      <c r="D11" s="2">
        <v>42169</v>
      </c>
      <c r="E11" s="1" t="s">
        <v>47</v>
      </c>
      <c r="F11" s="1" t="s">
        <v>59</v>
      </c>
      <c r="G11" s="1" t="s">
        <v>60</v>
      </c>
      <c r="H11" s="1" t="s">
        <v>26</v>
      </c>
      <c r="I11" s="1" t="s">
        <v>27</v>
      </c>
      <c r="J11" s="1" t="s">
        <v>40</v>
      </c>
      <c r="K11" s="1" t="s">
        <v>41</v>
      </c>
      <c r="L11">
        <v>90032</v>
      </c>
      <c r="M11" s="1" t="s">
        <v>9</v>
      </c>
      <c r="N11" s="1" t="s">
        <v>74</v>
      </c>
      <c r="O11" s="1" t="s">
        <v>43</v>
      </c>
      <c r="P11" s="1" t="s">
        <v>75</v>
      </c>
      <c r="Q11" s="1" t="s">
        <v>76</v>
      </c>
      <c r="R11">
        <v>114.9</v>
      </c>
    </row>
    <row r="12" spans="1:18" x14ac:dyDescent="0.3">
      <c r="A12">
        <v>11</v>
      </c>
      <c r="B12" s="1" t="s">
        <v>58</v>
      </c>
      <c r="C12" s="2">
        <v>42164</v>
      </c>
      <c r="D12" s="2">
        <v>42169</v>
      </c>
      <c r="E12" s="1" t="s">
        <v>47</v>
      </c>
      <c r="F12" s="1" t="s">
        <v>59</v>
      </c>
      <c r="G12" s="1" t="s">
        <v>60</v>
      </c>
      <c r="H12" s="1" t="s">
        <v>26</v>
      </c>
      <c r="I12" s="1" t="s">
        <v>27</v>
      </c>
      <c r="J12" s="1" t="s">
        <v>40</v>
      </c>
      <c r="K12" s="1" t="s">
        <v>41</v>
      </c>
      <c r="L12">
        <v>90032</v>
      </c>
      <c r="M12" s="1" t="s">
        <v>9</v>
      </c>
      <c r="N12" s="1" t="s">
        <v>77</v>
      </c>
      <c r="O12" s="1" t="s">
        <v>5</v>
      </c>
      <c r="P12" s="1" t="s">
        <v>53</v>
      </c>
      <c r="Q12" s="1" t="s">
        <v>78</v>
      </c>
      <c r="R12">
        <v>1706.184</v>
      </c>
    </row>
    <row r="13" spans="1:18" x14ac:dyDescent="0.3">
      <c r="A13">
        <v>12</v>
      </c>
      <c r="B13" s="1" t="s">
        <v>58</v>
      </c>
      <c r="C13" s="2">
        <v>42164</v>
      </c>
      <c r="D13" s="2">
        <v>42169</v>
      </c>
      <c r="E13" s="1" t="s">
        <v>47</v>
      </c>
      <c r="F13" s="1" t="s">
        <v>59</v>
      </c>
      <c r="G13" s="1" t="s">
        <v>60</v>
      </c>
      <c r="H13" s="1" t="s">
        <v>26</v>
      </c>
      <c r="I13" s="1" t="s">
        <v>27</v>
      </c>
      <c r="J13" s="1" t="s">
        <v>40</v>
      </c>
      <c r="K13" s="1" t="s">
        <v>41</v>
      </c>
      <c r="L13">
        <v>90032</v>
      </c>
      <c r="M13" s="1" t="s">
        <v>9</v>
      </c>
      <c r="N13" s="1" t="s">
        <v>79</v>
      </c>
      <c r="O13" s="1" t="s">
        <v>68</v>
      </c>
      <c r="P13" s="1" t="s">
        <v>69</v>
      </c>
      <c r="Q13" s="1" t="s">
        <v>80</v>
      </c>
      <c r="R13">
        <v>911.42399999999998</v>
      </c>
    </row>
    <row r="14" spans="1:18" x14ac:dyDescent="0.3">
      <c r="A14">
        <v>13</v>
      </c>
      <c r="B14" s="1" t="s">
        <v>81</v>
      </c>
      <c r="C14" s="2">
        <v>43205</v>
      </c>
      <c r="D14" s="2">
        <v>43210</v>
      </c>
      <c r="E14" s="1" t="s">
        <v>47</v>
      </c>
      <c r="F14" s="1" t="s">
        <v>82</v>
      </c>
      <c r="G14" s="1" t="s">
        <v>83</v>
      </c>
      <c r="H14" s="1" t="s">
        <v>26</v>
      </c>
      <c r="I14" s="1" t="s">
        <v>27</v>
      </c>
      <c r="J14" s="1" t="s">
        <v>84</v>
      </c>
      <c r="K14" s="1" t="s">
        <v>85</v>
      </c>
      <c r="L14">
        <v>28027</v>
      </c>
      <c r="M14" s="1" t="s">
        <v>8</v>
      </c>
      <c r="N14" s="1" t="s">
        <v>86</v>
      </c>
      <c r="O14" s="1" t="s">
        <v>43</v>
      </c>
      <c r="P14" s="1" t="s">
        <v>87</v>
      </c>
      <c r="Q14" s="1" t="s">
        <v>88</v>
      </c>
      <c r="R14">
        <v>15.552</v>
      </c>
    </row>
    <row r="15" spans="1:18" x14ac:dyDescent="0.3">
      <c r="A15">
        <v>14</v>
      </c>
      <c r="B15" s="1" t="s">
        <v>89</v>
      </c>
      <c r="C15" s="2">
        <v>43074</v>
      </c>
      <c r="D15" s="2">
        <v>43079</v>
      </c>
      <c r="E15" s="1" t="s">
        <v>47</v>
      </c>
      <c r="F15" s="1" t="s">
        <v>90</v>
      </c>
      <c r="G15" s="1" t="s">
        <v>91</v>
      </c>
      <c r="H15" s="1" t="s">
        <v>26</v>
      </c>
      <c r="I15" s="1" t="s">
        <v>27</v>
      </c>
      <c r="J15" s="1" t="s">
        <v>92</v>
      </c>
      <c r="K15" s="1" t="s">
        <v>93</v>
      </c>
      <c r="L15">
        <v>98103</v>
      </c>
      <c r="M15" s="1" t="s">
        <v>9</v>
      </c>
      <c r="N15" s="1" t="s">
        <v>94</v>
      </c>
      <c r="O15" s="1" t="s">
        <v>43</v>
      </c>
      <c r="P15" s="1" t="s">
        <v>72</v>
      </c>
      <c r="Q15" s="1" t="s">
        <v>95</v>
      </c>
      <c r="R15">
        <v>407.976</v>
      </c>
    </row>
    <row r="16" spans="1:18" x14ac:dyDescent="0.3">
      <c r="A16">
        <v>15</v>
      </c>
      <c r="B16" s="1" t="s">
        <v>96</v>
      </c>
      <c r="C16" s="2">
        <v>42696</v>
      </c>
      <c r="D16" s="2">
        <v>42700</v>
      </c>
      <c r="E16" s="1" t="s">
        <v>47</v>
      </c>
      <c r="F16" s="1" t="s">
        <v>97</v>
      </c>
      <c r="G16" s="1" t="s">
        <v>98</v>
      </c>
      <c r="H16" s="1" t="s">
        <v>99</v>
      </c>
      <c r="I16" s="1" t="s">
        <v>27</v>
      </c>
      <c r="J16" s="1" t="s">
        <v>100</v>
      </c>
      <c r="K16" s="1" t="s">
        <v>101</v>
      </c>
      <c r="L16">
        <v>76106</v>
      </c>
      <c r="M16" s="1" t="s">
        <v>102</v>
      </c>
      <c r="N16" s="1" t="s">
        <v>103</v>
      </c>
      <c r="O16" s="1" t="s">
        <v>43</v>
      </c>
      <c r="P16" s="1" t="s">
        <v>75</v>
      </c>
      <c r="Q16" s="1" t="s">
        <v>104</v>
      </c>
      <c r="R16">
        <v>68.81</v>
      </c>
    </row>
    <row r="17" spans="1:18" x14ac:dyDescent="0.3">
      <c r="A17">
        <v>16</v>
      </c>
      <c r="B17" s="1" t="s">
        <v>96</v>
      </c>
      <c r="C17" s="2">
        <v>42696</v>
      </c>
      <c r="D17" s="2">
        <v>42700</v>
      </c>
      <c r="E17" s="1" t="s">
        <v>47</v>
      </c>
      <c r="F17" s="1" t="s">
        <v>97</v>
      </c>
      <c r="G17" s="1" t="s">
        <v>98</v>
      </c>
      <c r="H17" s="1" t="s">
        <v>99</v>
      </c>
      <c r="I17" s="1" t="s">
        <v>27</v>
      </c>
      <c r="J17" s="1" t="s">
        <v>100</v>
      </c>
      <c r="K17" s="1" t="s">
        <v>101</v>
      </c>
      <c r="L17">
        <v>76106</v>
      </c>
      <c r="M17" s="1" t="s">
        <v>102</v>
      </c>
      <c r="N17" s="1" t="s">
        <v>105</v>
      </c>
      <c r="O17" s="1" t="s">
        <v>43</v>
      </c>
      <c r="P17" s="1" t="s">
        <v>72</v>
      </c>
      <c r="Q17" s="1" t="s">
        <v>106</v>
      </c>
      <c r="R17">
        <v>2.544</v>
      </c>
    </row>
    <row r="18" spans="1:18" x14ac:dyDescent="0.3">
      <c r="A18">
        <v>17</v>
      </c>
      <c r="B18" s="1" t="s">
        <v>107</v>
      </c>
      <c r="C18" s="2">
        <v>42319</v>
      </c>
      <c r="D18" s="2">
        <v>42326</v>
      </c>
      <c r="E18" s="1" t="s">
        <v>47</v>
      </c>
      <c r="F18" s="1" t="s">
        <v>108</v>
      </c>
      <c r="G18" s="1" t="s">
        <v>109</v>
      </c>
      <c r="H18" s="1" t="s">
        <v>26</v>
      </c>
      <c r="I18" s="1" t="s">
        <v>27</v>
      </c>
      <c r="J18" s="1" t="s">
        <v>110</v>
      </c>
      <c r="K18" s="1" t="s">
        <v>111</v>
      </c>
      <c r="L18">
        <v>53711</v>
      </c>
      <c r="M18" s="1" t="s">
        <v>102</v>
      </c>
      <c r="N18" s="1" t="s">
        <v>112</v>
      </c>
      <c r="O18" s="1" t="s">
        <v>43</v>
      </c>
      <c r="P18" s="1" t="s">
        <v>56</v>
      </c>
      <c r="Q18" s="1" t="s">
        <v>113</v>
      </c>
      <c r="R18">
        <v>665.88</v>
      </c>
    </row>
    <row r="19" spans="1:18" x14ac:dyDescent="0.3">
      <c r="A19">
        <v>18</v>
      </c>
      <c r="B19" s="1" t="s">
        <v>114</v>
      </c>
      <c r="C19" s="2">
        <v>42137</v>
      </c>
      <c r="D19" s="2">
        <v>42139</v>
      </c>
      <c r="E19" s="1" t="s">
        <v>23</v>
      </c>
      <c r="F19" s="1" t="s">
        <v>115</v>
      </c>
      <c r="G19" s="1" t="s">
        <v>116</v>
      </c>
      <c r="H19" s="1" t="s">
        <v>26</v>
      </c>
      <c r="I19" s="1" t="s">
        <v>27</v>
      </c>
      <c r="J19" s="1" t="s">
        <v>117</v>
      </c>
      <c r="K19" s="1" t="s">
        <v>118</v>
      </c>
      <c r="L19">
        <v>84084</v>
      </c>
      <c r="M19" s="1" t="s">
        <v>9</v>
      </c>
      <c r="N19" s="1" t="s">
        <v>119</v>
      </c>
      <c r="O19" s="1" t="s">
        <v>43</v>
      </c>
      <c r="P19" s="1" t="s">
        <v>56</v>
      </c>
      <c r="Q19" s="1" t="s">
        <v>120</v>
      </c>
      <c r="R19">
        <v>55.5</v>
      </c>
    </row>
    <row r="20" spans="1:18" x14ac:dyDescent="0.3">
      <c r="A20">
        <v>19</v>
      </c>
      <c r="B20" s="1" t="s">
        <v>121</v>
      </c>
      <c r="C20" s="2">
        <v>42243</v>
      </c>
      <c r="D20" s="2">
        <v>42248</v>
      </c>
      <c r="E20" s="1" t="s">
        <v>23</v>
      </c>
      <c r="F20" s="1" t="s">
        <v>122</v>
      </c>
      <c r="G20" s="1" t="s">
        <v>123</v>
      </c>
      <c r="H20" s="1" t="s">
        <v>26</v>
      </c>
      <c r="I20" s="1" t="s">
        <v>27</v>
      </c>
      <c r="J20" s="1" t="s">
        <v>124</v>
      </c>
      <c r="K20" s="1" t="s">
        <v>41</v>
      </c>
      <c r="L20">
        <v>94109</v>
      </c>
      <c r="M20" s="1" t="s">
        <v>9</v>
      </c>
      <c r="N20" s="1" t="s">
        <v>125</v>
      </c>
      <c r="O20" s="1" t="s">
        <v>43</v>
      </c>
      <c r="P20" s="1" t="s">
        <v>65</v>
      </c>
      <c r="Q20" s="1" t="s">
        <v>126</v>
      </c>
      <c r="R20">
        <v>8.56</v>
      </c>
    </row>
    <row r="21" spans="1:18" x14ac:dyDescent="0.3">
      <c r="A21">
        <v>20</v>
      </c>
      <c r="B21" s="1" t="s">
        <v>121</v>
      </c>
      <c r="C21" s="2">
        <v>42243</v>
      </c>
      <c r="D21" s="2">
        <v>42248</v>
      </c>
      <c r="E21" s="1" t="s">
        <v>23</v>
      </c>
      <c r="F21" s="1" t="s">
        <v>122</v>
      </c>
      <c r="G21" s="1" t="s">
        <v>123</v>
      </c>
      <c r="H21" s="1" t="s">
        <v>26</v>
      </c>
      <c r="I21" s="1" t="s">
        <v>27</v>
      </c>
      <c r="J21" s="1" t="s">
        <v>124</v>
      </c>
      <c r="K21" s="1" t="s">
        <v>41</v>
      </c>
      <c r="L21">
        <v>94109</v>
      </c>
      <c r="M21" s="1" t="s">
        <v>9</v>
      </c>
      <c r="N21" s="1" t="s">
        <v>127</v>
      </c>
      <c r="O21" s="1" t="s">
        <v>68</v>
      </c>
      <c r="P21" s="1" t="s">
        <v>69</v>
      </c>
      <c r="Q21" s="1" t="s">
        <v>128</v>
      </c>
      <c r="R21">
        <v>213.48</v>
      </c>
    </row>
    <row r="22" spans="1:18" x14ac:dyDescent="0.3">
      <c r="A22">
        <v>21</v>
      </c>
      <c r="B22" s="1" t="s">
        <v>121</v>
      </c>
      <c r="C22" s="2">
        <v>42243</v>
      </c>
      <c r="D22" s="2">
        <v>42248</v>
      </c>
      <c r="E22" s="1" t="s">
        <v>23</v>
      </c>
      <c r="F22" s="1" t="s">
        <v>122</v>
      </c>
      <c r="G22" s="1" t="s">
        <v>123</v>
      </c>
      <c r="H22" s="1" t="s">
        <v>26</v>
      </c>
      <c r="I22" s="1" t="s">
        <v>27</v>
      </c>
      <c r="J22" s="1" t="s">
        <v>124</v>
      </c>
      <c r="K22" s="1" t="s">
        <v>41</v>
      </c>
      <c r="L22">
        <v>94109</v>
      </c>
      <c r="M22" s="1" t="s">
        <v>9</v>
      </c>
      <c r="N22" s="1" t="s">
        <v>129</v>
      </c>
      <c r="O22" s="1" t="s">
        <v>43</v>
      </c>
      <c r="P22" s="1" t="s">
        <v>72</v>
      </c>
      <c r="Q22" s="1" t="s">
        <v>130</v>
      </c>
      <c r="R22">
        <v>22.72</v>
      </c>
    </row>
    <row r="23" spans="1:18" x14ac:dyDescent="0.3">
      <c r="A23">
        <v>22</v>
      </c>
      <c r="B23" s="1" t="s">
        <v>131</v>
      </c>
      <c r="C23" s="2">
        <v>43078</v>
      </c>
      <c r="D23" s="2">
        <v>43082</v>
      </c>
      <c r="E23" s="1" t="s">
        <v>47</v>
      </c>
      <c r="F23" s="1" t="s">
        <v>132</v>
      </c>
      <c r="G23" s="1" t="s">
        <v>133</v>
      </c>
      <c r="H23" s="1" t="s">
        <v>39</v>
      </c>
      <c r="I23" s="1" t="s">
        <v>27</v>
      </c>
      <c r="J23" s="1" t="s">
        <v>134</v>
      </c>
      <c r="K23" s="1" t="s">
        <v>135</v>
      </c>
      <c r="L23">
        <v>68025</v>
      </c>
      <c r="M23" s="1" t="s">
        <v>102</v>
      </c>
      <c r="N23" s="1" t="s">
        <v>136</v>
      </c>
      <c r="O23" s="1" t="s">
        <v>43</v>
      </c>
      <c r="P23" s="1" t="s">
        <v>65</v>
      </c>
      <c r="Q23" s="1" t="s">
        <v>137</v>
      </c>
      <c r="R23">
        <v>19.46</v>
      </c>
    </row>
    <row r="24" spans="1:18" x14ac:dyDescent="0.3">
      <c r="A24">
        <v>23</v>
      </c>
      <c r="B24" s="1" t="s">
        <v>131</v>
      </c>
      <c r="C24" s="2">
        <v>43078</v>
      </c>
      <c r="D24" s="2">
        <v>43082</v>
      </c>
      <c r="E24" s="1" t="s">
        <v>47</v>
      </c>
      <c r="F24" s="1" t="s">
        <v>132</v>
      </c>
      <c r="G24" s="1" t="s">
        <v>133</v>
      </c>
      <c r="H24" s="1" t="s">
        <v>39</v>
      </c>
      <c r="I24" s="1" t="s">
        <v>27</v>
      </c>
      <c r="J24" s="1" t="s">
        <v>134</v>
      </c>
      <c r="K24" s="1" t="s">
        <v>135</v>
      </c>
      <c r="L24">
        <v>68025</v>
      </c>
      <c r="M24" s="1" t="s">
        <v>102</v>
      </c>
      <c r="N24" s="1" t="s">
        <v>138</v>
      </c>
      <c r="O24" s="1" t="s">
        <v>43</v>
      </c>
      <c r="P24" s="1" t="s">
        <v>75</v>
      </c>
      <c r="Q24" s="1" t="s">
        <v>139</v>
      </c>
      <c r="R24">
        <v>60.34</v>
      </c>
    </row>
    <row r="25" spans="1:18" x14ac:dyDescent="0.3">
      <c r="A25">
        <v>24</v>
      </c>
      <c r="B25" s="1" t="s">
        <v>140</v>
      </c>
      <c r="C25" s="2">
        <v>43297</v>
      </c>
      <c r="D25" s="2">
        <v>43299</v>
      </c>
      <c r="E25" s="1" t="s">
        <v>23</v>
      </c>
      <c r="F25" s="1" t="s">
        <v>141</v>
      </c>
      <c r="G25" s="1" t="s">
        <v>142</v>
      </c>
      <c r="H25" s="1" t="s">
        <v>26</v>
      </c>
      <c r="I25" s="1" t="s">
        <v>27</v>
      </c>
      <c r="J25" s="1" t="s">
        <v>143</v>
      </c>
      <c r="K25" s="1" t="s">
        <v>144</v>
      </c>
      <c r="L25">
        <v>19140</v>
      </c>
      <c r="M25" s="1" t="s">
        <v>10</v>
      </c>
      <c r="N25" s="1" t="s">
        <v>145</v>
      </c>
      <c r="O25" s="1" t="s">
        <v>5</v>
      </c>
      <c r="P25" s="1" t="s">
        <v>34</v>
      </c>
      <c r="Q25" s="1" t="s">
        <v>146</v>
      </c>
      <c r="R25">
        <v>71.372</v>
      </c>
    </row>
    <row r="26" spans="1:18" x14ac:dyDescent="0.3">
      <c r="A26">
        <v>25</v>
      </c>
      <c r="B26" s="1" t="s">
        <v>147</v>
      </c>
      <c r="C26" s="2">
        <v>42638</v>
      </c>
      <c r="D26" s="2">
        <v>42643</v>
      </c>
      <c r="E26" s="1" t="s">
        <v>47</v>
      </c>
      <c r="F26" s="1" t="s">
        <v>148</v>
      </c>
      <c r="G26" s="1" t="s">
        <v>149</v>
      </c>
      <c r="H26" s="1" t="s">
        <v>26</v>
      </c>
      <c r="I26" s="1" t="s">
        <v>27</v>
      </c>
      <c r="J26" s="1" t="s">
        <v>150</v>
      </c>
      <c r="K26" s="1" t="s">
        <v>118</v>
      </c>
      <c r="L26">
        <v>84057</v>
      </c>
      <c r="M26" s="1" t="s">
        <v>9</v>
      </c>
      <c r="N26" s="1" t="s">
        <v>52</v>
      </c>
      <c r="O26" s="1" t="s">
        <v>5</v>
      </c>
      <c r="P26" s="1" t="s">
        <v>53</v>
      </c>
      <c r="Q26" s="1" t="s">
        <v>54</v>
      </c>
      <c r="R26">
        <v>1044.6300000000001</v>
      </c>
    </row>
    <row r="27" spans="1:18" x14ac:dyDescent="0.3">
      <c r="A27">
        <v>26</v>
      </c>
      <c r="B27" s="1" t="s">
        <v>151</v>
      </c>
      <c r="C27" s="2">
        <v>42751</v>
      </c>
      <c r="D27" s="2">
        <v>42755</v>
      </c>
      <c r="E27" s="1" t="s">
        <v>23</v>
      </c>
      <c r="F27" s="1" t="s">
        <v>152</v>
      </c>
      <c r="G27" s="1" t="s">
        <v>153</v>
      </c>
      <c r="H27" s="1" t="s">
        <v>26</v>
      </c>
      <c r="I27" s="1" t="s">
        <v>27</v>
      </c>
      <c r="J27" s="1" t="s">
        <v>40</v>
      </c>
      <c r="K27" s="1" t="s">
        <v>41</v>
      </c>
      <c r="L27">
        <v>90049</v>
      </c>
      <c r="M27" s="1" t="s">
        <v>9</v>
      </c>
      <c r="N27" s="1" t="s">
        <v>154</v>
      </c>
      <c r="O27" s="1" t="s">
        <v>43</v>
      </c>
      <c r="P27" s="1" t="s">
        <v>72</v>
      </c>
      <c r="Q27" s="1" t="s">
        <v>155</v>
      </c>
      <c r="R27">
        <v>11.648</v>
      </c>
    </row>
    <row r="28" spans="1:18" x14ac:dyDescent="0.3">
      <c r="A28">
        <v>27</v>
      </c>
      <c r="B28" s="1" t="s">
        <v>151</v>
      </c>
      <c r="C28" s="2">
        <v>42751</v>
      </c>
      <c r="D28" s="2">
        <v>42755</v>
      </c>
      <c r="E28" s="1" t="s">
        <v>23</v>
      </c>
      <c r="F28" s="1" t="s">
        <v>152</v>
      </c>
      <c r="G28" s="1" t="s">
        <v>153</v>
      </c>
      <c r="H28" s="1" t="s">
        <v>26</v>
      </c>
      <c r="I28" s="1" t="s">
        <v>27</v>
      </c>
      <c r="J28" s="1" t="s">
        <v>40</v>
      </c>
      <c r="K28" s="1" t="s">
        <v>41</v>
      </c>
      <c r="L28">
        <v>90049</v>
      </c>
      <c r="M28" s="1" t="s">
        <v>9</v>
      </c>
      <c r="N28" s="1" t="s">
        <v>156</v>
      </c>
      <c r="O28" s="1" t="s">
        <v>68</v>
      </c>
      <c r="P28" s="1" t="s">
        <v>157</v>
      </c>
      <c r="Q28" s="1" t="s">
        <v>158</v>
      </c>
      <c r="R28">
        <v>90.57</v>
      </c>
    </row>
    <row r="29" spans="1:18" x14ac:dyDescent="0.3">
      <c r="A29">
        <v>28</v>
      </c>
      <c r="B29" s="1" t="s">
        <v>159</v>
      </c>
      <c r="C29" s="2">
        <v>42630</v>
      </c>
      <c r="D29" s="2">
        <v>42634</v>
      </c>
      <c r="E29" s="1" t="s">
        <v>47</v>
      </c>
      <c r="F29" s="1" t="s">
        <v>160</v>
      </c>
      <c r="G29" s="1" t="s">
        <v>161</v>
      </c>
      <c r="H29" s="1" t="s">
        <v>26</v>
      </c>
      <c r="I29" s="1" t="s">
        <v>27</v>
      </c>
      <c r="J29" s="1" t="s">
        <v>143</v>
      </c>
      <c r="K29" s="1" t="s">
        <v>144</v>
      </c>
      <c r="L29">
        <v>19140</v>
      </c>
      <c r="M29" s="1" t="s">
        <v>10</v>
      </c>
      <c r="N29" s="1" t="s">
        <v>162</v>
      </c>
      <c r="O29" s="1" t="s">
        <v>5</v>
      </c>
      <c r="P29" s="1" t="s">
        <v>31</v>
      </c>
      <c r="Q29" s="1" t="s">
        <v>163</v>
      </c>
      <c r="R29">
        <v>3083.43</v>
      </c>
    </row>
    <row r="30" spans="1:18" x14ac:dyDescent="0.3">
      <c r="A30">
        <v>29</v>
      </c>
      <c r="B30" s="1" t="s">
        <v>159</v>
      </c>
      <c r="C30" s="2">
        <v>42630</v>
      </c>
      <c r="D30" s="2">
        <v>42634</v>
      </c>
      <c r="E30" s="1" t="s">
        <v>47</v>
      </c>
      <c r="F30" s="1" t="s">
        <v>160</v>
      </c>
      <c r="G30" s="1" t="s">
        <v>161</v>
      </c>
      <c r="H30" s="1" t="s">
        <v>26</v>
      </c>
      <c r="I30" s="1" t="s">
        <v>27</v>
      </c>
      <c r="J30" s="1" t="s">
        <v>143</v>
      </c>
      <c r="K30" s="1" t="s">
        <v>144</v>
      </c>
      <c r="L30">
        <v>19140</v>
      </c>
      <c r="M30" s="1" t="s">
        <v>10</v>
      </c>
      <c r="N30" s="1" t="s">
        <v>164</v>
      </c>
      <c r="O30" s="1" t="s">
        <v>43</v>
      </c>
      <c r="P30" s="1" t="s">
        <v>72</v>
      </c>
      <c r="Q30" s="1" t="s">
        <v>165</v>
      </c>
      <c r="R30">
        <v>9.6180000000000003</v>
      </c>
    </row>
    <row r="31" spans="1:18" x14ac:dyDescent="0.3">
      <c r="A31">
        <v>30</v>
      </c>
      <c r="B31" s="1" t="s">
        <v>159</v>
      </c>
      <c r="C31" s="2">
        <v>42630</v>
      </c>
      <c r="D31" s="2">
        <v>42634</v>
      </c>
      <c r="E31" s="1" t="s">
        <v>47</v>
      </c>
      <c r="F31" s="1" t="s">
        <v>160</v>
      </c>
      <c r="G31" s="1" t="s">
        <v>161</v>
      </c>
      <c r="H31" s="1" t="s">
        <v>26</v>
      </c>
      <c r="I31" s="1" t="s">
        <v>27</v>
      </c>
      <c r="J31" s="1" t="s">
        <v>143</v>
      </c>
      <c r="K31" s="1" t="s">
        <v>144</v>
      </c>
      <c r="L31">
        <v>19140</v>
      </c>
      <c r="M31" s="1" t="s">
        <v>10</v>
      </c>
      <c r="N31" s="1" t="s">
        <v>166</v>
      </c>
      <c r="O31" s="1" t="s">
        <v>5</v>
      </c>
      <c r="P31" s="1" t="s">
        <v>62</v>
      </c>
      <c r="Q31" s="1" t="s">
        <v>167</v>
      </c>
      <c r="R31">
        <v>124.2</v>
      </c>
    </row>
    <row r="32" spans="1:18" x14ac:dyDescent="0.3">
      <c r="A32">
        <v>31</v>
      </c>
      <c r="B32" s="1" t="s">
        <v>159</v>
      </c>
      <c r="C32" s="2">
        <v>42630</v>
      </c>
      <c r="D32" s="2">
        <v>42634</v>
      </c>
      <c r="E32" s="1" t="s">
        <v>47</v>
      </c>
      <c r="F32" s="1" t="s">
        <v>160</v>
      </c>
      <c r="G32" s="1" t="s">
        <v>161</v>
      </c>
      <c r="H32" s="1" t="s">
        <v>26</v>
      </c>
      <c r="I32" s="1" t="s">
        <v>27</v>
      </c>
      <c r="J32" s="1" t="s">
        <v>143</v>
      </c>
      <c r="K32" s="1" t="s">
        <v>144</v>
      </c>
      <c r="L32">
        <v>19140</v>
      </c>
      <c r="M32" s="1" t="s">
        <v>10</v>
      </c>
      <c r="N32" s="1" t="s">
        <v>168</v>
      </c>
      <c r="O32" s="1" t="s">
        <v>43</v>
      </c>
      <c r="P32" s="1" t="s">
        <v>169</v>
      </c>
      <c r="Q32" s="1" t="s">
        <v>170</v>
      </c>
      <c r="R32">
        <v>3.2639999999999998</v>
      </c>
    </row>
    <row r="33" spans="1:18" x14ac:dyDescent="0.3">
      <c r="A33">
        <v>32</v>
      </c>
      <c r="B33" s="1" t="s">
        <v>159</v>
      </c>
      <c r="C33" s="2">
        <v>42630</v>
      </c>
      <c r="D33" s="2">
        <v>42634</v>
      </c>
      <c r="E33" s="1" t="s">
        <v>47</v>
      </c>
      <c r="F33" s="1" t="s">
        <v>160</v>
      </c>
      <c r="G33" s="1" t="s">
        <v>161</v>
      </c>
      <c r="H33" s="1" t="s">
        <v>26</v>
      </c>
      <c r="I33" s="1" t="s">
        <v>27</v>
      </c>
      <c r="J33" s="1" t="s">
        <v>143</v>
      </c>
      <c r="K33" s="1" t="s">
        <v>144</v>
      </c>
      <c r="L33">
        <v>19140</v>
      </c>
      <c r="M33" s="1" t="s">
        <v>10</v>
      </c>
      <c r="N33" s="1" t="s">
        <v>171</v>
      </c>
      <c r="O33" s="1" t="s">
        <v>43</v>
      </c>
      <c r="P33" s="1" t="s">
        <v>65</v>
      </c>
      <c r="Q33" s="1" t="s">
        <v>172</v>
      </c>
      <c r="R33">
        <v>86.304000000000002</v>
      </c>
    </row>
    <row r="34" spans="1:18" x14ac:dyDescent="0.3">
      <c r="A34">
        <v>33</v>
      </c>
      <c r="B34" s="1" t="s">
        <v>159</v>
      </c>
      <c r="C34" s="2">
        <v>42630</v>
      </c>
      <c r="D34" s="2">
        <v>42634</v>
      </c>
      <c r="E34" s="1" t="s">
        <v>47</v>
      </c>
      <c r="F34" s="1" t="s">
        <v>160</v>
      </c>
      <c r="G34" s="1" t="s">
        <v>161</v>
      </c>
      <c r="H34" s="1" t="s">
        <v>26</v>
      </c>
      <c r="I34" s="1" t="s">
        <v>27</v>
      </c>
      <c r="J34" s="1" t="s">
        <v>143</v>
      </c>
      <c r="K34" s="1" t="s">
        <v>144</v>
      </c>
      <c r="L34">
        <v>19140</v>
      </c>
      <c r="M34" s="1" t="s">
        <v>10</v>
      </c>
      <c r="N34" s="1" t="s">
        <v>173</v>
      </c>
      <c r="O34" s="1" t="s">
        <v>43</v>
      </c>
      <c r="P34" s="1" t="s">
        <v>72</v>
      </c>
      <c r="Q34" s="1" t="s">
        <v>174</v>
      </c>
      <c r="R34">
        <v>6.8579999999999997</v>
      </c>
    </row>
    <row r="35" spans="1:18" x14ac:dyDescent="0.3">
      <c r="A35">
        <v>34</v>
      </c>
      <c r="B35" s="1" t="s">
        <v>159</v>
      </c>
      <c r="C35" s="2">
        <v>42630</v>
      </c>
      <c r="D35" s="2">
        <v>42634</v>
      </c>
      <c r="E35" s="1" t="s">
        <v>47</v>
      </c>
      <c r="F35" s="1" t="s">
        <v>160</v>
      </c>
      <c r="G35" s="1" t="s">
        <v>161</v>
      </c>
      <c r="H35" s="1" t="s">
        <v>26</v>
      </c>
      <c r="I35" s="1" t="s">
        <v>27</v>
      </c>
      <c r="J35" s="1" t="s">
        <v>143</v>
      </c>
      <c r="K35" s="1" t="s">
        <v>144</v>
      </c>
      <c r="L35">
        <v>19140</v>
      </c>
      <c r="M35" s="1" t="s">
        <v>10</v>
      </c>
      <c r="N35" s="1" t="s">
        <v>175</v>
      </c>
      <c r="O35" s="1" t="s">
        <v>43</v>
      </c>
      <c r="P35" s="1" t="s">
        <v>65</v>
      </c>
      <c r="Q35" s="1" t="s">
        <v>176</v>
      </c>
      <c r="R35">
        <v>15.76</v>
      </c>
    </row>
    <row r="36" spans="1:18" x14ac:dyDescent="0.3">
      <c r="A36">
        <v>35</v>
      </c>
      <c r="B36" s="1" t="s">
        <v>177</v>
      </c>
      <c r="C36" s="2">
        <v>43392</v>
      </c>
      <c r="D36" s="2">
        <v>43396</v>
      </c>
      <c r="E36" s="1" t="s">
        <v>23</v>
      </c>
      <c r="F36" s="1" t="s">
        <v>178</v>
      </c>
      <c r="G36" s="1" t="s">
        <v>179</v>
      </c>
      <c r="H36" s="1" t="s">
        <v>99</v>
      </c>
      <c r="I36" s="1" t="s">
        <v>27</v>
      </c>
      <c r="J36" s="1" t="s">
        <v>180</v>
      </c>
      <c r="K36" s="1" t="s">
        <v>101</v>
      </c>
      <c r="L36">
        <v>77095</v>
      </c>
      <c r="M36" s="1" t="s">
        <v>102</v>
      </c>
      <c r="N36" s="1" t="s">
        <v>181</v>
      </c>
      <c r="O36" s="1" t="s">
        <v>43</v>
      </c>
      <c r="P36" s="1" t="s">
        <v>87</v>
      </c>
      <c r="Q36" s="1" t="s">
        <v>182</v>
      </c>
      <c r="R36">
        <v>29.472000000000001</v>
      </c>
    </row>
    <row r="37" spans="1:18" x14ac:dyDescent="0.3">
      <c r="A37">
        <v>36</v>
      </c>
      <c r="B37" s="1" t="s">
        <v>183</v>
      </c>
      <c r="C37" s="2">
        <v>43077</v>
      </c>
      <c r="D37" s="2">
        <v>43079</v>
      </c>
      <c r="E37" s="1" t="s">
        <v>184</v>
      </c>
      <c r="F37" s="1" t="s">
        <v>185</v>
      </c>
      <c r="G37" s="1" t="s">
        <v>186</v>
      </c>
      <c r="H37" s="1" t="s">
        <v>39</v>
      </c>
      <c r="I37" s="1" t="s">
        <v>27</v>
      </c>
      <c r="J37" s="1" t="s">
        <v>187</v>
      </c>
      <c r="K37" s="1" t="s">
        <v>101</v>
      </c>
      <c r="L37">
        <v>75080</v>
      </c>
      <c r="M37" s="1" t="s">
        <v>102</v>
      </c>
      <c r="N37" s="1" t="s">
        <v>188</v>
      </c>
      <c r="O37" s="1" t="s">
        <v>68</v>
      </c>
      <c r="P37" s="1" t="s">
        <v>69</v>
      </c>
      <c r="Q37" s="1" t="s">
        <v>189</v>
      </c>
      <c r="R37">
        <v>1097.5440000000001</v>
      </c>
    </row>
    <row r="38" spans="1:18" x14ac:dyDescent="0.3">
      <c r="A38">
        <v>37</v>
      </c>
      <c r="B38" s="1" t="s">
        <v>183</v>
      </c>
      <c r="C38" s="2">
        <v>43077</v>
      </c>
      <c r="D38" s="2">
        <v>43079</v>
      </c>
      <c r="E38" s="1" t="s">
        <v>184</v>
      </c>
      <c r="F38" s="1" t="s">
        <v>185</v>
      </c>
      <c r="G38" s="1" t="s">
        <v>186</v>
      </c>
      <c r="H38" s="1" t="s">
        <v>39</v>
      </c>
      <c r="I38" s="1" t="s">
        <v>27</v>
      </c>
      <c r="J38" s="1" t="s">
        <v>187</v>
      </c>
      <c r="K38" s="1" t="s">
        <v>101</v>
      </c>
      <c r="L38">
        <v>75080</v>
      </c>
      <c r="M38" s="1" t="s">
        <v>102</v>
      </c>
      <c r="N38" s="1" t="s">
        <v>190</v>
      </c>
      <c r="O38" s="1" t="s">
        <v>5</v>
      </c>
      <c r="P38" s="1" t="s">
        <v>62</v>
      </c>
      <c r="Q38" s="1" t="s">
        <v>191</v>
      </c>
      <c r="R38">
        <v>190.92</v>
      </c>
    </row>
    <row r="39" spans="1:18" x14ac:dyDescent="0.3">
      <c r="A39">
        <v>38</v>
      </c>
      <c r="B39" s="1" t="s">
        <v>192</v>
      </c>
      <c r="C39" s="2">
        <v>42731</v>
      </c>
      <c r="D39" s="2">
        <v>42735</v>
      </c>
      <c r="E39" s="1" t="s">
        <v>47</v>
      </c>
      <c r="F39" s="1" t="s">
        <v>193</v>
      </c>
      <c r="G39" s="1" t="s">
        <v>194</v>
      </c>
      <c r="H39" s="1" t="s">
        <v>99</v>
      </c>
      <c r="I39" s="1" t="s">
        <v>27</v>
      </c>
      <c r="J39" s="1" t="s">
        <v>180</v>
      </c>
      <c r="K39" s="1" t="s">
        <v>101</v>
      </c>
      <c r="L39">
        <v>77041</v>
      </c>
      <c r="M39" s="1" t="s">
        <v>102</v>
      </c>
      <c r="N39" s="1" t="s">
        <v>195</v>
      </c>
      <c r="O39" s="1" t="s">
        <v>43</v>
      </c>
      <c r="P39" s="1" t="s">
        <v>169</v>
      </c>
      <c r="Q39" s="1" t="s">
        <v>196</v>
      </c>
      <c r="R39">
        <v>113.328</v>
      </c>
    </row>
    <row r="40" spans="1:18" x14ac:dyDescent="0.3">
      <c r="A40">
        <v>39</v>
      </c>
      <c r="B40" s="1" t="s">
        <v>192</v>
      </c>
      <c r="C40" s="2">
        <v>42731</v>
      </c>
      <c r="D40" s="2">
        <v>42735</v>
      </c>
      <c r="E40" s="1" t="s">
        <v>47</v>
      </c>
      <c r="F40" s="1" t="s">
        <v>193</v>
      </c>
      <c r="G40" s="1" t="s">
        <v>194</v>
      </c>
      <c r="H40" s="1" t="s">
        <v>99</v>
      </c>
      <c r="I40" s="1" t="s">
        <v>27</v>
      </c>
      <c r="J40" s="1" t="s">
        <v>180</v>
      </c>
      <c r="K40" s="1" t="s">
        <v>101</v>
      </c>
      <c r="L40">
        <v>77041</v>
      </c>
      <c r="M40" s="1" t="s">
        <v>102</v>
      </c>
      <c r="N40" s="1" t="s">
        <v>197</v>
      </c>
      <c r="O40" s="1" t="s">
        <v>5</v>
      </c>
      <c r="P40" s="1" t="s">
        <v>31</v>
      </c>
      <c r="Q40" s="1" t="s">
        <v>198</v>
      </c>
      <c r="R40">
        <v>532.39919999999995</v>
      </c>
    </row>
    <row r="41" spans="1:18" x14ac:dyDescent="0.3">
      <c r="A41">
        <v>40</v>
      </c>
      <c r="B41" s="1" t="s">
        <v>192</v>
      </c>
      <c r="C41" s="2">
        <v>42731</v>
      </c>
      <c r="D41" s="2">
        <v>42735</v>
      </c>
      <c r="E41" s="1" t="s">
        <v>47</v>
      </c>
      <c r="F41" s="1" t="s">
        <v>193</v>
      </c>
      <c r="G41" s="1" t="s">
        <v>194</v>
      </c>
      <c r="H41" s="1" t="s">
        <v>99</v>
      </c>
      <c r="I41" s="1" t="s">
        <v>27</v>
      </c>
      <c r="J41" s="1" t="s">
        <v>180</v>
      </c>
      <c r="K41" s="1" t="s">
        <v>101</v>
      </c>
      <c r="L41">
        <v>77041</v>
      </c>
      <c r="M41" s="1" t="s">
        <v>102</v>
      </c>
      <c r="N41" s="1" t="s">
        <v>199</v>
      </c>
      <c r="O41" s="1" t="s">
        <v>5</v>
      </c>
      <c r="P41" s="1" t="s">
        <v>34</v>
      </c>
      <c r="Q41" s="1" t="s">
        <v>200</v>
      </c>
      <c r="R41">
        <v>212.05799999999999</v>
      </c>
    </row>
    <row r="42" spans="1:18" x14ac:dyDescent="0.3">
      <c r="A42">
        <v>41</v>
      </c>
      <c r="B42" s="1" t="s">
        <v>192</v>
      </c>
      <c r="C42" s="2">
        <v>42731</v>
      </c>
      <c r="D42" s="2">
        <v>42735</v>
      </c>
      <c r="E42" s="1" t="s">
        <v>47</v>
      </c>
      <c r="F42" s="1" t="s">
        <v>193</v>
      </c>
      <c r="G42" s="1" t="s">
        <v>194</v>
      </c>
      <c r="H42" s="1" t="s">
        <v>99</v>
      </c>
      <c r="I42" s="1" t="s">
        <v>27</v>
      </c>
      <c r="J42" s="1" t="s">
        <v>180</v>
      </c>
      <c r="K42" s="1" t="s">
        <v>101</v>
      </c>
      <c r="L42">
        <v>77041</v>
      </c>
      <c r="M42" s="1" t="s">
        <v>102</v>
      </c>
      <c r="N42" s="1" t="s">
        <v>201</v>
      </c>
      <c r="O42" s="1" t="s">
        <v>68</v>
      </c>
      <c r="P42" s="1" t="s">
        <v>69</v>
      </c>
      <c r="Q42" s="1" t="s">
        <v>202</v>
      </c>
      <c r="R42">
        <v>371.16800000000001</v>
      </c>
    </row>
    <row r="43" spans="1:18" x14ac:dyDescent="0.3">
      <c r="A43">
        <v>42</v>
      </c>
      <c r="B43" s="1" t="s">
        <v>203</v>
      </c>
      <c r="C43" s="2">
        <v>43353</v>
      </c>
      <c r="D43" s="2">
        <v>43358</v>
      </c>
      <c r="E43" s="1" t="s">
        <v>47</v>
      </c>
      <c r="F43" s="1" t="s">
        <v>204</v>
      </c>
      <c r="G43" s="1" t="s">
        <v>205</v>
      </c>
      <c r="H43" s="1" t="s">
        <v>39</v>
      </c>
      <c r="I43" s="1" t="s">
        <v>27</v>
      </c>
      <c r="J43" s="1" t="s">
        <v>206</v>
      </c>
      <c r="K43" s="1" t="s">
        <v>207</v>
      </c>
      <c r="L43">
        <v>60540</v>
      </c>
      <c r="M43" s="1" t="s">
        <v>102</v>
      </c>
      <c r="N43" s="1" t="s">
        <v>208</v>
      </c>
      <c r="O43" s="1" t="s">
        <v>68</v>
      </c>
      <c r="P43" s="1" t="s">
        <v>69</v>
      </c>
      <c r="Q43" s="1" t="s">
        <v>209</v>
      </c>
      <c r="R43">
        <v>147.16800000000001</v>
      </c>
    </row>
    <row r="44" spans="1:18" x14ac:dyDescent="0.3">
      <c r="A44">
        <v>43</v>
      </c>
      <c r="B44" s="1" t="s">
        <v>210</v>
      </c>
      <c r="C44" s="2">
        <v>42933</v>
      </c>
      <c r="D44" s="2">
        <v>42938</v>
      </c>
      <c r="E44" s="1" t="s">
        <v>47</v>
      </c>
      <c r="F44" s="1" t="s">
        <v>211</v>
      </c>
      <c r="G44" s="1" t="s">
        <v>212</v>
      </c>
      <c r="H44" s="1" t="s">
        <v>39</v>
      </c>
      <c r="I44" s="1" t="s">
        <v>27</v>
      </c>
      <c r="J44" s="1" t="s">
        <v>40</v>
      </c>
      <c r="K44" s="1" t="s">
        <v>41</v>
      </c>
      <c r="L44">
        <v>90049</v>
      </c>
      <c r="M44" s="1" t="s">
        <v>9</v>
      </c>
      <c r="N44" s="1" t="s">
        <v>213</v>
      </c>
      <c r="O44" s="1" t="s">
        <v>43</v>
      </c>
      <c r="P44" s="1" t="s">
        <v>56</v>
      </c>
      <c r="Q44" s="1" t="s">
        <v>214</v>
      </c>
      <c r="R44">
        <v>77.88</v>
      </c>
    </row>
    <row r="45" spans="1:18" x14ac:dyDescent="0.3">
      <c r="A45">
        <v>44</v>
      </c>
      <c r="B45" s="1" t="s">
        <v>215</v>
      </c>
      <c r="C45" s="2">
        <v>43362</v>
      </c>
      <c r="D45" s="2">
        <v>43366</v>
      </c>
      <c r="E45" s="1" t="s">
        <v>47</v>
      </c>
      <c r="F45" s="1" t="s">
        <v>216</v>
      </c>
      <c r="G45" s="1" t="s">
        <v>217</v>
      </c>
      <c r="H45" s="1" t="s">
        <v>39</v>
      </c>
      <c r="I45" s="1" t="s">
        <v>27</v>
      </c>
      <c r="J45" s="1" t="s">
        <v>218</v>
      </c>
      <c r="K45" s="1" t="s">
        <v>51</v>
      </c>
      <c r="L45">
        <v>32935</v>
      </c>
      <c r="M45" s="1" t="s">
        <v>8</v>
      </c>
      <c r="N45" s="1" t="s">
        <v>219</v>
      </c>
      <c r="O45" s="1" t="s">
        <v>43</v>
      </c>
      <c r="P45" s="1" t="s">
        <v>56</v>
      </c>
      <c r="Q45" s="1" t="s">
        <v>220</v>
      </c>
      <c r="R45">
        <v>95.616</v>
      </c>
    </row>
    <row r="46" spans="1:18" x14ac:dyDescent="0.3">
      <c r="A46">
        <v>45</v>
      </c>
      <c r="B46" s="1" t="s">
        <v>221</v>
      </c>
      <c r="C46" s="2">
        <v>42805</v>
      </c>
      <c r="D46" s="2">
        <v>42807</v>
      </c>
      <c r="E46" s="1" t="s">
        <v>184</v>
      </c>
      <c r="F46" s="1" t="s">
        <v>222</v>
      </c>
      <c r="G46" s="1" t="s">
        <v>223</v>
      </c>
      <c r="H46" s="1" t="s">
        <v>39</v>
      </c>
      <c r="I46" s="1" t="s">
        <v>27</v>
      </c>
      <c r="J46" s="1" t="s">
        <v>224</v>
      </c>
      <c r="K46" s="1" t="s">
        <v>225</v>
      </c>
      <c r="L46">
        <v>55122</v>
      </c>
      <c r="M46" s="1" t="s">
        <v>102</v>
      </c>
      <c r="N46" s="1" t="s">
        <v>226</v>
      </c>
      <c r="O46" s="1" t="s">
        <v>68</v>
      </c>
      <c r="P46" s="1" t="s">
        <v>157</v>
      </c>
      <c r="Q46" s="1" t="s">
        <v>227</v>
      </c>
      <c r="R46">
        <v>45.98</v>
      </c>
    </row>
    <row r="47" spans="1:18" x14ac:dyDescent="0.3">
      <c r="A47">
        <v>46</v>
      </c>
      <c r="B47" s="1" t="s">
        <v>221</v>
      </c>
      <c r="C47" s="2">
        <v>42805</v>
      </c>
      <c r="D47" s="2">
        <v>42807</v>
      </c>
      <c r="E47" s="1" t="s">
        <v>184</v>
      </c>
      <c r="F47" s="1" t="s">
        <v>222</v>
      </c>
      <c r="G47" s="1" t="s">
        <v>223</v>
      </c>
      <c r="H47" s="1" t="s">
        <v>39</v>
      </c>
      <c r="I47" s="1" t="s">
        <v>27</v>
      </c>
      <c r="J47" s="1" t="s">
        <v>224</v>
      </c>
      <c r="K47" s="1" t="s">
        <v>225</v>
      </c>
      <c r="L47">
        <v>55122</v>
      </c>
      <c r="M47" s="1" t="s">
        <v>102</v>
      </c>
      <c r="N47" s="1" t="s">
        <v>228</v>
      </c>
      <c r="O47" s="1" t="s">
        <v>43</v>
      </c>
      <c r="P47" s="1" t="s">
        <v>72</v>
      </c>
      <c r="Q47" s="1" t="s">
        <v>229</v>
      </c>
      <c r="R47">
        <v>17.46</v>
      </c>
    </row>
    <row r="48" spans="1:18" x14ac:dyDescent="0.3">
      <c r="A48">
        <v>47</v>
      </c>
      <c r="B48" s="1" t="s">
        <v>230</v>
      </c>
      <c r="C48" s="2">
        <v>42297</v>
      </c>
      <c r="D48" s="2">
        <v>42302</v>
      </c>
      <c r="E48" s="1" t="s">
        <v>23</v>
      </c>
      <c r="F48" s="1" t="s">
        <v>231</v>
      </c>
      <c r="G48" s="1" t="s">
        <v>232</v>
      </c>
      <c r="H48" s="1" t="s">
        <v>26</v>
      </c>
      <c r="I48" s="1" t="s">
        <v>27</v>
      </c>
      <c r="J48" s="1" t="s">
        <v>233</v>
      </c>
      <c r="K48" s="1" t="s">
        <v>234</v>
      </c>
      <c r="L48">
        <v>48185</v>
      </c>
      <c r="M48" s="1" t="s">
        <v>102</v>
      </c>
      <c r="N48" s="1" t="s">
        <v>235</v>
      </c>
      <c r="O48" s="1" t="s">
        <v>43</v>
      </c>
      <c r="P48" s="1" t="s">
        <v>56</v>
      </c>
      <c r="Q48" s="1" t="s">
        <v>236</v>
      </c>
      <c r="R48">
        <v>211.96</v>
      </c>
    </row>
    <row r="49" spans="1:18" x14ac:dyDescent="0.3">
      <c r="A49">
        <v>48</v>
      </c>
      <c r="B49" s="1" t="s">
        <v>237</v>
      </c>
      <c r="C49" s="2">
        <v>42906</v>
      </c>
      <c r="D49" s="2">
        <v>42911</v>
      </c>
      <c r="E49" s="1" t="s">
        <v>47</v>
      </c>
      <c r="F49" s="1" t="s">
        <v>238</v>
      </c>
      <c r="G49" s="1" t="s">
        <v>239</v>
      </c>
      <c r="H49" s="1" t="s">
        <v>26</v>
      </c>
      <c r="I49" s="1" t="s">
        <v>27</v>
      </c>
      <c r="J49" s="1" t="s">
        <v>240</v>
      </c>
      <c r="K49" s="1" t="s">
        <v>241</v>
      </c>
      <c r="L49">
        <v>19901</v>
      </c>
      <c r="M49" s="1" t="s">
        <v>10</v>
      </c>
      <c r="N49" s="1" t="s">
        <v>242</v>
      </c>
      <c r="O49" s="1" t="s">
        <v>68</v>
      </c>
      <c r="P49" s="1" t="s">
        <v>157</v>
      </c>
      <c r="Q49" s="1" t="s">
        <v>243</v>
      </c>
      <c r="R49">
        <v>45</v>
      </c>
    </row>
    <row r="50" spans="1:18" x14ac:dyDescent="0.3">
      <c r="A50">
        <v>49</v>
      </c>
      <c r="B50" s="1" t="s">
        <v>237</v>
      </c>
      <c r="C50" s="2">
        <v>42906</v>
      </c>
      <c r="D50" s="2">
        <v>42911</v>
      </c>
      <c r="E50" s="1" t="s">
        <v>47</v>
      </c>
      <c r="F50" s="1" t="s">
        <v>238</v>
      </c>
      <c r="G50" s="1" t="s">
        <v>239</v>
      </c>
      <c r="H50" s="1" t="s">
        <v>26</v>
      </c>
      <c r="I50" s="1" t="s">
        <v>27</v>
      </c>
      <c r="J50" s="1" t="s">
        <v>240</v>
      </c>
      <c r="K50" s="1" t="s">
        <v>241</v>
      </c>
      <c r="L50">
        <v>19901</v>
      </c>
      <c r="M50" s="1" t="s">
        <v>10</v>
      </c>
      <c r="N50" s="1" t="s">
        <v>244</v>
      </c>
      <c r="O50" s="1" t="s">
        <v>68</v>
      </c>
      <c r="P50" s="1" t="s">
        <v>69</v>
      </c>
      <c r="Q50" s="1" t="s">
        <v>245</v>
      </c>
      <c r="R50">
        <v>21.8</v>
      </c>
    </row>
    <row r="51" spans="1:18" x14ac:dyDescent="0.3">
      <c r="A51">
        <v>50</v>
      </c>
      <c r="B51" s="1" t="s">
        <v>246</v>
      </c>
      <c r="C51" s="2">
        <v>42478</v>
      </c>
      <c r="D51" s="2">
        <v>42482</v>
      </c>
      <c r="E51" s="1" t="s">
        <v>47</v>
      </c>
      <c r="F51" s="1" t="s">
        <v>247</v>
      </c>
      <c r="G51" s="1" t="s">
        <v>248</v>
      </c>
      <c r="H51" s="1" t="s">
        <v>26</v>
      </c>
      <c r="I51" s="1" t="s">
        <v>27</v>
      </c>
      <c r="J51" s="1" t="s">
        <v>249</v>
      </c>
      <c r="K51" s="1" t="s">
        <v>250</v>
      </c>
      <c r="L51">
        <v>47150</v>
      </c>
      <c r="M51" s="1" t="s">
        <v>102</v>
      </c>
      <c r="N51" s="1" t="s">
        <v>251</v>
      </c>
      <c r="O51" s="1" t="s">
        <v>43</v>
      </c>
      <c r="P51" s="1" t="s">
        <v>72</v>
      </c>
      <c r="Q51" s="1" t="s">
        <v>252</v>
      </c>
      <c r="R51">
        <v>38.22</v>
      </c>
    </row>
    <row r="52" spans="1:18" x14ac:dyDescent="0.3">
      <c r="A52">
        <v>51</v>
      </c>
      <c r="B52" s="1" t="s">
        <v>246</v>
      </c>
      <c r="C52" s="2">
        <v>42478</v>
      </c>
      <c r="D52" s="2">
        <v>42482</v>
      </c>
      <c r="E52" s="1" t="s">
        <v>47</v>
      </c>
      <c r="F52" s="1" t="s">
        <v>247</v>
      </c>
      <c r="G52" s="1" t="s">
        <v>248</v>
      </c>
      <c r="H52" s="1" t="s">
        <v>26</v>
      </c>
      <c r="I52" s="1" t="s">
        <v>27</v>
      </c>
      <c r="J52" s="1" t="s">
        <v>249</v>
      </c>
      <c r="K52" s="1" t="s">
        <v>250</v>
      </c>
      <c r="L52">
        <v>47150</v>
      </c>
      <c r="M52" s="1" t="s">
        <v>102</v>
      </c>
      <c r="N52" s="1" t="s">
        <v>253</v>
      </c>
      <c r="O52" s="1" t="s">
        <v>43</v>
      </c>
      <c r="P52" s="1" t="s">
        <v>44</v>
      </c>
      <c r="Q52" s="1" t="s">
        <v>254</v>
      </c>
      <c r="R52">
        <v>75.180000000000007</v>
      </c>
    </row>
    <row r="53" spans="1:18" x14ac:dyDescent="0.3">
      <c r="A53">
        <v>52</v>
      </c>
      <c r="B53" s="1" t="s">
        <v>246</v>
      </c>
      <c r="C53" s="2">
        <v>42478</v>
      </c>
      <c r="D53" s="2">
        <v>42482</v>
      </c>
      <c r="E53" s="1" t="s">
        <v>47</v>
      </c>
      <c r="F53" s="1" t="s">
        <v>247</v>
      </c>
      <c r="G53" s="1" t="s">
        <v>248</v>
      </c>
      <c r="H53" s="1" t="s">
        <v>26</v>
      </c>
      <c r="I53" s="1" t="s">
        <v>27</v>
      </c>
      <c r="J53" s="1" t="s">
        <v>249</v>
      </c>
      <c r="K53" s="1" t="s">
        <v>250</v>
      </c>
      <c r="L53">
        <v>47150</v>
      </c>
      <c r="M53" s="1" t="s">
        <v>102</v>
      </c>
      <c r="N53" s="1" t="s">
        <v>255</v>
      </c>
      <c r="O53" s="1" t="s">
        <v>5</v>
      </c>
      <c r="P53" s="1" t="s">
        <v>62</v>
      </c>
      <c r="Q53" s="1" t="s">
        <v>256</v>
      </c>
      <c r="R53">
        <v>6.16</v>
      </c>
    </row>
    <row r="54" spans="1:18" x14ac:dyDescent="0.3">
      <c r="A54">
        <v>53</v>
      </c>
      <c r="B54" s="1" t="s">
        <v>246</v>
      </c>
      <c r="C54" s="2">
        <v>42478</v>
      </c>
      <c r="D54" s="2">
        <v>42482</v>
      </c>
      <c r="E54" s="1" t="s">
        <v>47</v>
      </c>
      <c r="F54" s="1" t="s">
        <v>247</v>
      </c>
      <c r="G54" s="1" t="s">
        <v>248</v>
      </c>
      <c r="H54" s="1" t="s">
        <v>26</v>
      </c>
      <c r="I54" s="1" t="s">
        <v>27</v>
      </c>
      <c r="J54" s="1" t="s">
        <v>249</v>
      </c>
      <c r="K54" s="1" t="s">
        <v>250</v>
      </c>
      <c r="L54">
        <v>47150</v>
      </c>
      <c r="M54" s="1" t="s">
        <v>102</v>
      </c>
      <c r="N54" s="1" t="s">
        <v>257</v>
      </c>
      <c r="O54" s="1" t="s">
        <v>5</v>
      </c>
      <c r="P54" s="1" t="s">
        <v>34</v>
      </c>
      <c r="Q54" s="1" t="s">
        <v>258</v>
      </c>
      <c r="R54">
        <v>89.99</v>
      </c>
    </row>
    <row r="55" spans="1:18" x14ac:dyDescent="0.3">
      <c r="A55">
        <v>54</v>
      </c>
      <c r="B55" s="1" t="s">
        <v>259</v>
      </c>
      <c r="C55" s="2">
        <v>43080</v>
      </c>
      <c r="D55" s="2">
        <v>43086</v>
      </c>
      <c r="E55" s="1" t="s">
        <v>47</v>
      </c>
      <c r="F55" s="1" t="s">
        <v>260</v>
      </c>
      <c r="G55" s="1" t="s">
        <v>261</v>
      </c>
      <c r="H55" s="1" t="s">
        <v>39</v>
      </c>
      <c r="I55" s="1" t="s">
        <v>27</v>
      </c>
      <c r="J55" s="1" t="s">
        <v>262</v>
      </c>
      <c r="K55" s="1" t="s">
        <v>263</v>
      </c>
      <c r="L55">
        <v>10024</v>
      </c>
      <c r="M55" s="1" t="s">
        <v>10</v>
      </c>
      <c r="N55" s="1" t="s">
        <v>264</v>
      </c>
      <c r="O55" s="1" t="s">
        <v>43</v>
      </c>
      <c r="P55" s="1" t="s">
        <v>265</v>
      </c>
      <c r="Q55" s="1" t="s">
        <v>266</v>
      </c>
      <c r="R55">
        <v>15.26</v>
      </c>
    </row>
    <row r="56" spans="1:18" x14ac:dyDescent="0.3">
      <c r="A56">
        <v>55</v>
      </c>
      <c r="B56" s="1" t="s">
        <v>259</v>
      </c>
      <c r="C56" s="2">
        <v>43080</v>
      </c>
      <c r="D56" s="2">
        <v>43086</v>
      </c>
      <c r="E56" s="1" t="s">
        <v>47</v>
      </c>
      <c r="F56" s="1" t="s">
        <v>260</v>
      </c>
      <c r="G56" s="1" t="s">
        <v>261</v>
      </c>
      <c r="H56" s="1" t="s">
        <v>39</v>
      </c>
      <c r="I56" s="1" t="s">
        <v>27</v>
      </c>
      <c r="J56" s="1" t="s">
        <v>262</v>
      </c>
      <c r="K56" s="1" t="s">
        <v>263</v>
      </c>
      <c r="L56">
        <v>10024</v>
      </c>
      <c r="M56" s="1" t="s">
        <v>10</v>
      </c>
      <c r="N56" s="1" t="s">
        <v>267</v>
      </c>
      <c r="O56" s="1" t="s">
        <v>68</v>
      </c>
      <c r="P56" s="1" t="s">
        <v>69</v>
      </c>
      <c r="Q56" s="1" t="s">
        <v>268</v>
      </c>
      <c r="R56">
        <v>1029.95</v>
      </c>
    </row>
    <row r="57" spans="1:18" x14ac:dyDescent="0.3">
      <c r="A57">
        <v>56</v>
      </c>
      <c r="B57" s="1" t="s">
        <v>269</v>
      </c>
      <c r="C57" s="2">
        <v>42903</v>
      </c>
      <c r="D57" s="2">
        <v>42904</v>
      </c>
      <c r="E57" s="1" t="s">
        <v>184</v>
      </c>
      <c r="F57" s="1" t="s">
        <v>270</v>
      </c>
      <c r="G57" s="1" t="s">
        <v>271</v>
      </c>
      <c r="H57" s="1" t="s">
        <v>26</v>
      </c>
      <c r="I57" s="1" t="s">
        <v>27</v>
      </c>
      <c r="J57" s="1" t="s">
        <v>272</v>
      </c>
      <c r="K57" s="1" t="s">
        <v>263</v>
      </c>
      <c r="L57">
        <v>12180</v>
      </c>
      <c r="M57" s="1" t="s">
        <v>10</v>
      </c>
      <c r="N57" s="1" t="s">
        <v>273</v>
      </c>
      <c r="O57" s="1" t="s">
        <v>43</v>
      </c>
      <c r="P57" s="1" t="s">
        <v>56</v>
      </c>
      <c r="Q57" s="1" t="s">
        <v>274</v>
      </c>
      <c r="R57">
        <v>208.56</v>
      </c>
    </row>
    <row r="58" spans="1:18" x14ac:dyDescent="0.3">
      <c r="A58">
        <v>57</v>
      </c>
      <c r="B58" s="1" t="s">
        <v>269</v>
      </c>
      <c r="C58" s="2">
        <v>42903</v>
      </c>
      <c r="D58" s="2">
        <v>42904</v>
      </c>
      <c r="E58" s="1" t="s">
        <v>184</v>
      </c>
      <c r="F58" s="1" t="s">
        <v>270</v>
      </c>
      <c r="G58" s="1" t="s">
        <v>271</v>
      </c>
      <c r="H58" s="1" t="s">
        <v>26</v>
      </c>
      <c r="I58" s="1" t="s">
        <v>27</v>
      </c>
      <c r="J58" s="1" t="s">
        <v>272</v>
      </c>
      <c r="K58" s="1" t="s">
        <v>263</v>
      </c>
      <c r="L58">
        <v>12180</v>
      </c>
      <c r="M58" s="1" t="s">
        <v>10</v>
      </c>
      <c r="N58" s="1" t="s">
        <v>275</v>
      </c>
      <c r="O58" s="1" t="s">
        <v>43</v>
      </c>
      <c r="P58" s="1" t="s">
        <v>87</v>
      </c>
      <c r="Q58" s="1" t="s">
        <v>276</v>
      </c>
      <c r="R58">
        <v>32.4</v>
      </c>
    </row>
    <row r="59" spans="1:18" x14ac:dyDescent="0.3">
      <c r="A59">
        <v>58</v>
      </c>
      <c r="B59" s="1" t="s">
        <v>269</v>
      </c>
      <c r="C59" s="2">
        <v>42903</v>
      </c>
      <c r="D59" s="2">
        <v>42904</v>
      </c>
      <c r="E59" s="1" t="s">
        <v>184</v>
      </c>
      <c r="F59" s="1" t="s">
        <v>270</v>
      </c>
      <c r="G59" s="1" t="s">
        <v>271</v>
      </c>
      <c r="H59" s="1" t="s">
        <v>26</v>
      </c>
      <c r="I59" s="1" t="s">
        <v>27</v>
      </c>
      <c r="J59" s="1" t="s">
        <v>272</v>
      </c>
      <c r="K59" s="1" t="s">
        <v>263</v>
      </c>
      <c r="L59">
        <v>12180</v>
      </c>
      <c r="M59" s="1" t="s">
        <v>10</v>
      </c>
      <c r="N59" s="1" t="s">
        <v>277</v>
      </c>
      <c r="O59" s="1" t="s">
        <v>5</v>
      </c>
      <c r="P59" s="1" t="s">
        <v>34</v>
      </c>
      <c r="Q59" s="1" t="s">
        <v>278</v>
      </c>
      <c r="R59">
        <v>319.41000000000003</v>
      </c>
    </row>
    <row r="60" spans="1:18" x14ac:dyDescent="0.3">
      <c r="A60">
        <v>59</v>
      </c>
      <c r="B60" s="1" t="s">
        <v>269</v>
      </c>
      <c r="C60" s="2">
        <v>42903</v>
      </c>
      <c r="D60" s="2">
        <v>42904</v>
      </c>
      <c r="E60" s="1" t="s">
        <v>184</v>
      </c>
      <c r="F60" s="1" t="s">
        <v>270</v>
      </c>
      <c r="G60" s="1" t="s">
        <v>271</v>
      </c>
      <c r="H60" s="1" t="s">
        <v>26</v>
      </c>
      <c r="I60" s="1" t="s">
        <v>27</v>
      </c>
      <c r="J60" s="1" t="s">
        <v>272</v>
      </c>
      <c r="K60" s="1" t="s">
        <v>263</v>
      </c>
      <c r="L60">
        <v>12180</v>
      </c>
      <c r="M60" s="1" t="s">
        <v>10</v>
      </c>
      <c r="N60" s="1" t="s">
        <v>279</v>
      </c>
      <c r="O60" s="1" t="s">
        <v>43</v>
      </c>
      <c r="P60" s="1" t="s">
        <v>87</v>
      </c>
      <c r="Q60" s="1" t="s">
        <v>280</v>
      </c>
      <c r="R60">
        <v>14.56</v>
      </c>
    </row>
    <row r="61" spans="1:18" x14ac:dyDescent="0.3">
      <c r="A61">
        <v>60</v>
      </c>
      <c r="B61" s="1" t="s">
        <v>269</v>
      </c>
      <c r="C61" s="2">
        <v>42903</v>
      </c>
      <c r="D61" s="2">
        <v>42904</v>
      </c>
      <c r="E61" s="1" t="s">
        <v>184</v>
      </c>
      <c r="F61" s="1" t="s">
        <v>270</v>
      </c>
      <c r="G61" s="1" t="s">
        <v>271</v>
      </c>
      <c r="H61" s="1" t="s">
        <v>26</v>
      </c>
      <c r="I61" s="1" t="s">
        <v>27</v>
      </c>
      <c r="J61" s="1" t="s">
        <v>272</v>
      </c>
      <c r="K61" s="1" t="s">
        <v>263</v>
      </c>
      <c r="L61">
        <v>12180</v>
      </c>
      <c r="M61" s="1" t="s">
        <v>10</v>
      </c>
      <c r="N61" s="1" t="s">
        <v>242</v>
      </c>
      <c r="O61" s="1" t="s">
        <v>68</v>
      </c>
      <c r="P61" s="1" t="s">
        <v>157</v>
      </c>
      <c r="Q61" s="1" t="s">
        <v>243</v>
      </c>
      <c r="R61">
        <v>30</v>
      </c>
    </row>
    <row r="62" spans="1:18" x14ac:dyDescent="0.3">
      <c r="A62">
        <v>61</v>
      </c>
      <c r="B62" s="1" t="s">
        <v>269</v>
      </c>
      <c r="C62" s="2">
        <v>42903</v>
      </c>
      <c r="D62" s="2">
        <v>42904</v>
      </c>
      <c r="E62" s="1" t="s">
        <v>184</v>
      </c>
      <c r="F62" s="1" t="s">
        <v>270</v>
      </c>
      <c r="G62" s="1" t="s">
        <v>271</v>
      </c>
      <c r="H62" s="1" t="s">
        <v>26</v>
      </c>
      <c r="I62" s="1" t="s">
        <v>27</v>
      </c>
      <c r="J62" s="1" t="s">
        <v>272</v>
      </c>
      <c r="K62" s="1" t="s">
        <v>263</v>
      </c>
      <c r="L62">
        <v>12180</v>
      </c>
      <c r="M62" s="1" t="s">
        <v>10</v>
      </c>
      <c r="N62" s="1" t="s">
        <v>281</v>
      </c>
      <c r="O62" s="1" t="s">
        <v>43</v>
      </c>
      <c r="P62" s="1" t="s">
        <v>72</v>
      </c>
      <c r="Q62" s="1" t="s">
        <v>282</v>
      </c>
      <c r="R62">
        <v>48.48</v>
      </c>
    </row>
    <row r="63" spans="1:18" x14ac:dyDescent="0.3">
      <c r="A63">
        <v>62</v>
      </c>
      <c r="B63" s="1" t="s">
        <v>269</v>
      </c>
      <c r="C63" s="2">
        <v>42903</v>
      </c>
      <c r="D63" s="2">
        <v>42904</v>
      </c>
      <c r="E63" s="1" t="s">
        <v>184</v>
      </c>
      <c r="F63" s="1" t="s">
        <v>270</v>
      </c>
      <c r="G63" s="1" t="s">
        <v>271</v>
      </c>
      <c r="H63" s="1" t="s">
        <v>26</v>
      </c>
      <c r="I63" s="1" t="s">
        <v>27</v>
      </c>
      <c r="J63" s="1" t="s">
        <v>272</v>
      </c>
      <c r="K63" s="1" t="s">
        <v>263</v>
      </c>
      <c r="L63">
        <v>12180</v>
      </c>
      <c r="M63" s="1" t="s">
        <v>10</v>
      </c>
      <c r="N63" s="1" t="s">
        <v>283</v>
      </c>
      <c r="O63" s="1" t="s">
        <v>43</v>
      </c>
      <c r="P63" s="1" t="s">
        <v>65</v>
      </c>
      <c r="Q63" s="1" t="s">
        <v>284</v>
      </c>
      <c r="R63">
        <v>1.68</v>
      </c>
    </row>
    <row r="64" spans="1:18" x14ac:dyDescent="0.3">
      <c r="A64">
        <v>63</v>
      </c>
      <c r="B64" s="1" t="s">
        <v>285</v>
      </c>
      <c r="C64" s="2">
        <v>42698</v>
      </c>
      <c r="D64" s="2">
        <v>42704</v>
      </c>
      <c r="E64" s="1" t="s">
        <v>47</v>
      </c>
      <c r="F64" s="1" t="s">
        <v>286</v>
      </c>
      <c r="G64" s="1" t="s">
        <v>287</v>
      </c>
      <c r="H64" s="1" t="s">
        <v>26</v>
      </c>
      <c r="I64" s="1" t="s">
        <v>27</v>
      </c>
      <c r="J64" s="1" t="s">
        <v>40</v>
      </c>
      <c r="K64" s="1" t="s">
        <v>41</v>
      </c>
      <c r="L64">
        <v>90004</v>
      </c>
      <c r="M64" s="1" t="s">
        <v>9</v>
      </c>
      <c r="N64" s="1" t="s">
        <v>288</v>
      </c>
      <c r="O64" s="1" t="s">
        <v>68</v>
      </c>
      <c r="P64" s="1" t="s">
        <v>157</v>
      </c>
      <c r="Q64" s="1" t="s">
        <v>289</v>
      </c>
      <c r="R64">
        <v>13.98</v>
      </c>
    </row>
    <row r="65" spans="1:18" x14ac:dyDescent="0.3">
      <c r="A65">
        <v>64</v>
      </c>
      <c r="B65" s="1" t="s">
        <v>285</v>
      </c>
      <c r="C65" s="2">
        <v>42698</v>
      </c>
      <c r="D65" s="2">
        <v>42704</v>
      </c>
      <c r="E65" s="1" t="s">
        <v>47</v>
      </c>
      <c r="F65" s="1" t="s">
        <v>286</v>
      </c>
      <c r="G65" s="1" t="s">
        <v>287</v>
      </c>
      <c r="H65" s="1" t="s">
        <v>26</v>
      </c>
      <c r="I65" s="1" t="s">
        <v>27</v>
      </c>
      <c r="J65" s="1" t="s">
        <v>40</v>
      </c>
      <c r="K65" s="1" t="s">
        <v>41</v>
      </c>
      <c r="L65">
        <v>90004</v>
      </c>
      <c r="M65" s="1" t="s">
        <v>9</v>
      </c>
      <c r="N65" s="1" t="s">
        <v>290</v>
      </c>
      <c r="O65" s="1" t="s">
        <v>43</v>
      </c>
      <c r="P65" s="1" t="s">
        <v>72</v>
      </c>
      <c r="Q65" s="1" t="s">
        <v>291</v>
      </c>
      <c r="R65">
        <v>25.824000000000002</v>
      </c>
    </row>
    <row r="66" spans="1:18" x14ac:dyDescent="0.3">
      <c r="A66">
        <v>65</v>
      </c>
      <c r="B66" s="1" t="s">
        <v>285</v>
      </c>
      <c r="C66" s="2">
        <v>42698</v>
      </c>
      <c r="D66" s="2">
        <v>42704</v>
      </c>
      <c r="E66" s="1" t="s">
        <v>47</v>
      </c>
      <c r="F66" s="1" t="s">
        <v>286</v>
      </c>
      <c r="G66" s="1" t="s">
        <v>287</v>
      </c>
      <c r="H66" s="1" t="s">
        <v>26</v>
      </c>
      <c r="I66" s="1" t="s">
        <v>27</v>
      </c>
      <c r="J66" s="1" t="s">
        <v>40</v>
      </c>
      <c r="K66" s="1" t="s">
        <v>41</v>
      </c>
      <c r="L66">
        <v>90004</v>
      </c>
      <c r="M66" s="1" t="s">
        <v>9</v>
      </c>
      <c r="N66" s="1" t="s">
        <v>292</v>
      </c>
      <c r="O66" s="1" t="s">
        <v>43</v>
      </c>
      <c r="P66" s="1" t="s">
        <v>87</v>
      </c>
      <c r="Q66" s="1" t="s">
        <v>293</v>
      </c>
      <c r="R66">
        <v>146.72999999999999</v>
      </c>
    </row>
    <row r="67" spans="1:18" x14ac:dyDescent="0.3">
      <c r="A67">
        <v>66</v>
      </c>
      <c r="B67" s="1" t="s">
        <v>285</v>
      </c>
      <c r="C67" s="2">
        <v>42698</v>
      </c>
      <c r="D67" s="2">
        <v>42704</v>
      </c>
      <c r="E67" s="1" t="s">
        <v>47</v>
      </c>
      <c r="F67" s="1" t="s">
        <v>286</v>
      </c>
      <c r="G67" s="1" t="s">
        <v>287</v>
      </c>
      <c r="H67" s="1" t="s">
        <v>26</v>
      </c>
      <c r="I67" s="1" t="s">
        <v>27</v>
      </c>
      <c r="J67" s="1" t="s">
        <v>40</v>
      </c>
      <c r="K67" s="1" t="s">
        <v>41</v>
      </c>
      <c r="L67">
        <v>90004</v>
      </c>
      <c r="M67" s="1" t="s">
        <v>9</v>
      </c>
      <c r="N67" s="1" t="s">
        <v>294</v>
      </c>
      <c r="O67" s="1" t="s">
        <v>5</v>
      </c>
      <c r="P67" s="1" t="s">
        <v>62</v>
      </c>
      <c r="Q67" s="1" t="s">
        <v>295</v>
      </c>
      <c r="R67">
        <v>79.760000000000005</v>
      </c>
    </row>
    <row r="68" spans="1:18" x14ac:dyDescent="0.3">
      <c r="A68">
        <v>67</v>
      </c>
      <c r="B68" s="1" t="s">
        <v>296</v>
      </c>
      <c r="C68" s="2">
        <v>42490</v>
      </c>
      <c r="D68" s="2">
        <v>42495</v>
      </c>
      <c r="E68" s="1" t="s">
        <v>47</v>
      </c>
      <c r="F68" s="1" t="s">
        <v>297</v>
      </c>
      <c r="G68" s="1" t="s">
        <v>298</v>
      </c>
      <c r="H68" s="1" t="s">
        <v>99</v>
      </c>
      <c r="I68" s="1" t="s">
        <v>27</v>
      </c>
      <c r="J68" s="1" t="s">
        <v>299</v>
      </c>
      <c r="K68" s="1" t="s">
        <v>207</v>
      </c>
      <c r="L68">
        <v>60610</v>
      </c>
      <c r="M68" s="1" t="s">
        <v>102</v>
      </c>
      <c r="N68" s="1" t="s">
        <v>300</v>
      </c>
      <c r="O68" s="1" t="s">
        <v>5</v>
      </c>
      <c r="P68" s="1" t="s">
        <v>34</v>
      </c>
      <c r="Q68" s="1" t="s">
        <v>301</v>
      </c>
      <c r="R68">
        <v>213.11500000000001</v>
      </c>
    </row>
    <row r="69" spans="1:18" x14ac:dyDescent="0.3">
      <c r="A69">
        <v>68</v>
      </c>
      <c r="B69" s="1" t="s">
        <v>302</v>
      </c>
      <c r="C69" s="2">
        <v>42343</v>
      </c>
      <c r="D69" s="2">
        <v>42348</v>
      </c>
      <c r="E69" s="1" t="s">
        <v>47</v>
      </c>
      <c r="F69" s="1" t="s">
        <v>303</v>
      </c>
      <c r="G69" s="1" t="s">
        <v>304</v>
      </c>
      <c r="H69" s="1" t="s">
        <v>39</v>
      </c>
      <c r="I69" s="1" t="s">
        <v>27</v>
      </c>
      <c r="J69" s="1" t="s">
        <v>305</v>
      </c>
      <c r="K69" s="1" t="s">
        <v>306</v>
      </c>
      <c r="L69">
        <v>85234</v>
      </c>
      <c r="M69" s="1" t="s">
        <v>9</v>
      </c>
      <c r="N69" s="1" t="s">
        <v>307</v>
      </c>
      <c r="O69" s="1" t="s">
        <v>43</v>
      </c>
      <c r="P69" s="1" t="s">
        <v>65</v>
      </c>
      <c r="Q69" s="1" t="s">
        <v>308</v>
      </c>
      <c r="R69">
        <v>1113.0239999999999</v>
      </c>
    </row>
    <row r="70" spans="1:18" x14ac:dyDescent="0.3">
      <c r="A70">
        <v>69</v>
      </c>
      <c r="B70" s="1" t="s">
        <v>302</v>
      </c>
      <c r="C70" s="2">
        <v>42343</v>
      </c>
      <c r="D70" s="2">
        <v>42348</v>
      </c>
      <c r="E70" s="1" t="s">
        <v>47</v>
      </c>
      <c r="F70" s="1" t="s">
        <v>303</v>
      </c>
      <c r="G70" s="1" t="s">
        <v>304</v>
      </c>
      <c r="H70" s="1" t="s">
        <v>39</v>
      </c>
      <c r="I70" s="1" t="s">
        <v>27</v>
      </c>
      <c r="J70" s="1" t="s">
        <v>305</v>
      </c>
      <c r="K70" s="1" t="s">
        <v>306</v>
      </c>
      <c r="L70">
        <v>85234</v>
      </c>
      <c r="M70" s="1" t="s">
        <v>9</v>
      </c>
      <c r="N70" s="1" t="s">
        <v>309</v>
      </c>
      <c r="O70" s="1" t="s">
        <v>68</v>
      </c>
      <c r="P70" s="1" t="s">
        <v>69</v>
      </c>
      <c r="Q70" s="1" t="s">
        <v>310</v>
      </c>
      <c r="R70">
        <v>167.96799999999999</v>
      </c>
    </row>
    <row r="71" spans="1:18" x14ac:dyDescent="0.3">
      <c r="A71">
        <v>70</v>
      </c>
      <c r="B71" s="1" t="s">
        <v>311</v>
      </c>
      <c r="C71" s="2">
        <v>42890</v>
      </c>
      <c r="D71" s="2">
        <v>42892</v>
      </c>
      <c r="E71" s="1" t="s">
        <v>184</v>
      </c>
      <c r="F71" s="1" t="s">
        <v>312</v>
      </c>
      <c r="G71" s="1" t="s">
        <v>313</v>
      </c>
      <c r="H71" s="1" t="s">
        <v>26</v>
      </c>
      <c r="I71" s="1" t="s">
        <v>27</v>
      </c>
      <c r="J71" s="1" t="s">
        <v>314</v>
      </c>
      <c r="K71" s="1" t="s">
        <v>315</v>
      </c>
      <c r="L71">
        <v>22153</v>
      </c>
      <c r="M71" s="1" t="s">
        <v>8</v>
      </c>
      <c r="N71" s="1" t="s">
        <v>316</v>
      </c>
      <c r="O71" s="1" t="s">
        <v>43</v>
      </c>
      <c r="P71" s="1" t="s">
        <v>87</v>
      </c>
      <c r="Q71" s="1" t="s">
        <v>317</v>
      </c>
      <c r="R71">
        <v>75.88</v>
      </c>
    </row>
    <row r="72" spans="1:18" x14ac:dyDescent="0.3">
      <c r="A72">
        <v>71</v>
      </c>
      <c r="B72" s="1" t="s">
        <v>318</v>
      </c>
      <c r="C72" s="2">
        <v>42996</v>
      </c>
      <c r="D72" s="2">
        <v>43001</v>
      </c>
      <c r="E72" s="1" t="s">
        <v>47</v>
      </c>
      <c r="F72" s="1" t="s">
        <v>319</v>
      </c>
      <c r="G72" s="1" t="s">
        <v>320</v>
      </c>
      <c r="H72" s="1" t="s">
        <v>26</v>
      </c>
      <c r="I72" s="1" t="s">
        <v>27</v>
      </c>
      <c r="J72" s="1" t="s">
        <v>262</v>
      </c>
      <c r="K72" s="1" t="s">
        <v>263</v>
      </c>
      <c r="L72">
        <v>10009</v>
      </c>
      <c r="M72" s="1" t="s">
        <v>10</v>
      </c>
      <c r="N72" s="1" t="s">
        <v>321</v>
      </c>
      <c r="O72" s="1" t="s">
        <v>43</v>
      </c>
      <c r="P72" s="1" t="s">
        <v>72</v>
      </c>
      <c r="Q72" s="1" t="s">
        <v>322</v>
      </c>
      <c r="R72">
        <v>4.6159999999999997</v>
      </c>
    </row>
    <row r="73" spans="1:18" x14ac:dyDescent="0.3">
      <c r="A73">
        <v>72</v>
      </c>
      <c r="B73" s="1" t="s">
        <v>323</v>
      </c>
      <c r="C73" s="2">
        <v>43357</v>
      </c>
      <c r="D73" s="2">
        <v>43360</v>
      </c>
      <c r="E73" s="1" t="s">
        <v>23</v>
      </c>
      <c r="F73" s="1" t="s">
        <v>160</v>
      </c>
      <c r="G73" s="1" t="s">
        <v>161</v>
      </c>
      <c r="H73" s="1" t="s">
        <v>26</v>
      </c>
      <c r="I73" s="1" t="s">
        <v>27</v>
      </c>
      <c r="J73" s="1" t="s">
        <v>324</v>
      </c>
      <c r="K73" s="1" t="s">
        <v>234</v>
      </c>
      <c r="L73">
        <v>49201</v>
      </c>
      <c r="M73" s="1" t="s">
        <v>102</v>
      </c>
      <c r="N73" s="1" t="s">
        <v>325</v>
      </c>
      <c r="O73" s="1" t="s">
        <v>43</v>
      </c>
      <c r="P73" s="1" t="s">
        <v>87</v>
      </c>
      <c r="Q73" s="1" t="s">
        <v>326</v>
      </c>
      <c r="R73">
        <v>19.05</v>
      </c>
    </row>
    <row r="74" spans="1:18" x14ac:dyDescent="0.3">
      <c r="A74">
        <v>73</v>
      </c>
      <c r="B74" s="1" t="s">
        <v>327</v>
      </c>
      <c r="C74" s="2">
        <v>42486</v>
      </c>
      <c r="D74" s="2">
        <v>42492</v>
      </c>
      <c r="E74" s="1" t="s">
        <v>47</v>
      </c>
      <c r="F74" s="1" t="s">
        <v>328</v>
      </c>
      <c r="G74" s="1" t="s">
        <v>329</v>
      </c>
      <c r="H74" s="1" t="s">
        <v>26</v>
      </c>
      <c r="I74" s="1" t="s">
        <v>27</v>
      </c>
      <c r="J74" s="1" t="s">
        <v>330</v>
      </c>
      <c r="K74" s="1" t="s">
        <v>331</v>
      </c>
      <c r="L74">
        <v>38109</v>
      </c>
      <c r="M74" s="1" t="s">
        <v>8</v>
      </c>
      <c r="N74" s="1" t="s">
        <v>332</v>
      </c>
      <c r="O74" s="1" t="s">
        <v>5</v>
      </c>
      <c r="P74" s="1" t="s">
        <v>34</v>
      </c>
      <c r="Q74" s="1" t="s">
        <v>333</v>
      </c>
      <c r="R74">
        <v>831.93600000000004</v>
      </c>
    </row>
    <row r="75" spans="1:18" x14ac:dyDescent="0.3">
      <c r="A75">
        <v>74</v>
      </c>
      <c r="B75" s="1" t="s">
        <v>327</v>
      </c>
      <c r="C75" s="2">
        <v>42486</v>
      </c>
      <c r="D75" s="2">
        <v>42492</v>
      </c>
      <c r="E75" s="1" t="s">
        <v>47</v>
      </c>
      <c r="F75" s="1" t="s">
        <v>328</v>
      </c>
      <c r="G75" s="1" t="s">
        <v>329</v>
      </c>
      <c r="H75" s="1" t="s">
        <v>26</v>
      </c>
      <c r="I75" s="1" t="s">
        <v>27</v>
      </c>
      <c r="J75" s="1" t="s">
        <v>330</v>
      </c>
      <c r="K75" s="1" t="s">
        <v>331</v>
      </c>
      <c r="L75">
        <v>38109</v>
      </c>
      <c r="M75" s="1" t="s">
        <v>8</v>
      </c>
      <c r="N75" s="1" t="s">
        <v>334</v>
      </c>
      <c r="O75" s="1" t="s">
        <v>5</v>
      </c>
      <c r="P75" s="1" t="s">
        <v>62</v>
      </c>
      <c r="Q75" s="1" t="s">
        <v>335</v>
      </c>
      <c r="R75">
        <v>97.04</v>
      </c>
    </row>
    <row r="76" spans="1:18" x14ac:dyDescent="0.3">
      <c r="A76">
        <v>75</v>
      </c>
      <c r="B76" s="1" t="s">
        <v>327</v>
      </c>
      <c r="C76" s="2">
        <v>42486</v>
      </c>
      <c r="D76" s="2">
        <v>42492</v>
      </c>
      <c r="E76" s="1" t="s">
        <v>47</v>
      </c>
      <c r="F76" s="1" t="s">
        <v>328</v>
      </c>
      <c r="G76" s="1" t="s">
        <v>329</v>
      </c>
      <c r="H76" s="1" t="s">
        <v>26</v>
      </c>
      <c r="I76" s="1" t="s">
        <v>27</v>
      </c>
      <c r="J76" s="1" t="s">
        <v>330</v>
      </c>
      <c r="K76" s="1" t="s">
        <v>331</v>
      </c>
      <c r="L76">
        <v>38109</v>
      </c>
      <c r="M76" s="1" t="s">
        <v>8</v>
      </c>
      <c r="N76" s="1" t="s">
        <v>336</v>
      </c>
      <c r="O76" s="1" t="s">
        <v>43</v>
      </c>
      <c r="P76" s="1" t="s">
        <v>56</v>
      </c>
      <c r="Q76" s="1" t="s">
        <v>337</v>
      </c>
      <c r="R76">
        <v>72.784000000000006</v>
      </c>
    </row>
    <row r="77" spans="1:18" x14ac:dyDescent="0.3">
      <c r="A77">
        <v>76</v>
      </c>
      <c r="B77" s="1" t="s">
        <v>338</v>
      </c>
      <c r="C77" s="2">
        <v>43443</v>
      </c>
      <c r="D77" s="2">
        <v>43445</v>
      </c>
      <c r="E77" s="1" t="s">
        <v>184</v>
      </c>
      <c r="F77" s="1" t="s">
        <v>339</v>
      </c>
      <c r="G77" s="1" t="s">
        <v>340</v>
      </c>
      <c r="H77" s="1" t="s">
        <v>39</v>
      </c>
      <c r="I77" s="1" t="s">
        <v>27</v>
      </c>
      <c r="J77" s="1" t="s">
        <v>180</v>
      </c>
      <c r="K77" s="1" t="s">
        <v>101</v>
      </c>
      <c r="L77">
        <v>77041</v>
      </c>
      <c r="M77" s="1" t="s">
        <v>102</v>
      </c>
      <c r="N77" s="1" t="s">
        <v>341</v>
      </c>
      <c r="O77" s="1" t="s">
        <v>43</v>
      </c>
      <c r="P77" s="1" t="s">
        <v>72</v>
      </c>
      <c r="Q77" s="1" t="s">
        <v>342</v>
      </c>
      <c r="R77">
        <v>1.248</v>
      </c>
    </row>
    <row r="78" spans="1:18" x14ac:dyDescent="0.3">
      <c r="A78">
        <v>77</v>
      </c>
      <c r="B78" s="1" t="s">
        <v>338</v>
      </c>
      <c r="C78" s="2">
        <v>43443</v>
      </c>
      <c r="D78" s="2">
        <v>43445</v>
      </c>
      <c r="E78" s="1" t="s">
        <v>184</v>
      </c>
      <c r="F78" s="1" t="s">
        <v>339</v>
      </c>
      <c r="G78" s="1" t="s">
        <v>340</v>
      </c>
      <c r="H78" s="1" t="s">
        <v>39</v>
      </c>
      <c r="I78" s="1" t="s">
        <v>27</v>
      </c>
      <c r="J78" s="1" t="s">
        <v>180</v>
      </c>
      <c r="K78" s="1" t="s">
        <v>101</v>
      </c>
      <c r="L78">
        <v>77041</v>
      </c>
      <c r="M78" s="1" t="s">
        <v>102</v>
      </c>
      <c r="N78" s="1" t="s">
        <v>343</v>
      </c>
      <c r="O78" s="1" t="s">
        <v>5</v>
      </c>
      <c r="P78" s="1" t="s">
        <v>62</v>
      </c>
      <c r="Q78" s="1" t="s">
        <v>344</v>
      </c>
      <c r="R78">
        <v>9.7080000000000002</v>
      </c>
    </row>
    <row r="79" spans="1:18" x14ac:dyDescent="0.3">
      <c r="A79">
        <v>78</v>
      </c>
      <c r="B79" s="1" t="s">
        <v>338</v>
      </c>
      <c r="C79" s="2">
        <v>43443</v>
      </c>
      <c r="D79" s="2">
        <v>43445</v>
      </c>
      <c r="E79" s="1" t="s">
        <v>184</v>
      </c>
      <c r="F79" s="1" t="s">
        <v>339</v>
      </c>
      <c r="G79" s="1" t="s">
        <v>340</v>
      </c>
      <c r="H79" s="1" t="s">
        <v>39</v>
      </c>
      <c r="I79" s="1" t="s">
        <v>27</v>
      </c>
      <c r="J79" s="1" t="s">
        <v>180</v>
      </c>
      <c r="K79" s="1" t="s">
        <v>101</v>
      </c>
      <c r="L79">
        <v>77041</v>
      </c>
      <c r="M79" s="1" t="s">
        <v>102</v>
      </c>
      <c r="N79" s="1" t="s">
        <v>345</v>
      </c>
      <c r="O79" s="1" t="s">
        <v>43</v>
      </c>
      <c r="P79" s="1" t="s">
        <v>56</v>
      </c>
      <c r="Q79" s="1" t="s">
        <v>346</v>
      </c>
      <c r="R79">
        <v>27.24</v>
      </c>
    </row>
    <row r="80" spans="1:18" x14ac:dyDescent="0.3">
      <c r="A80">
        <v>79</v>
      </c>
      <c r="B80" s="1" t="s">
        <v>347</v>
      </c>
      <c r="C80" s="2">
        <v>42334</v>
      </c>
      <c r="D80" s="2">
        <v>42339</v>
      </c>
      <c r="E80" s="1" t="s">
        <v>23</v>
      </c>
      <c r="F80" s="1" t="s">
        <v>328</v>
      </c>
      <c r="G80" s="1" t="s">
        <v>329</v>
      </c>
      <c r="H80" s="1" t="s">
        <v>26</v>
      </c>
      <c r="I80" s="1" t="s">
        <v>27</v>
      </c>
      <c r="J80" s="1" t="s">
        <v>180</v>
      </c>
      <c r="K80" s="1" t="s">
        <v>101</v>
      </c>
      <c r="L80">
        <v>77070</v>
      </c>
      <c r="M80" s="1" t="s">
        <v>102</v>
      </c>
      <c r="N80" s="1" t="s">
        <v>348</v>
      </c>
      <c r="O80" s="1" t="s">
        <v>5</v>
      </c>
      <c r="P80" s="1" t="s">
        <v>62</v>
      </c>
      <c r="Q80" s="1" t="s">
        <v>349</v>
      </c>
      <c r="R80">
        <v>19.3</v>
      </c>
    </row>
    <row r="81" spans="1:18" x14ac:dyDescent="0.3">
      <c r="A81">
        <v>80</v>
      </c>
      <c r="B81" s="1" t="s">
        <v>350</v>
      </c>
      <c r="C81" s="2">
        <v>42898</v>
      </c>
      <c r="D81" s="2">
        <v>42901</v>
      </c>
      <c r="E81" s="1" t="s">
        <v>184</v>
      </c>
      <c r="F81" s="1" t="s">
        <v>351</v>
      </c>
      <c r="G81" s="1" t="s">
        <v>352</v>
      </c>
      <c r="H81" s="1" t="s">
        <v>39</v>
      </c>
      <c r="I81" s="1" t="s">
        <v>27</v>
      </c>
      <c r="J81" s="1" t="s">
        <v>353</v>
      </c>
      <c r="K81" s="1" t="s">
        <v>354</v>
      </c>
      <c r="L81">
        <v>35601</v>
      </c>
      <c r="M81" s="1" t="s">
        <v>8</v>
      </c>
      <c r="N81" s="1" t="s">
        <v>355</v>
      </c>
      <c r="O81" s="1" t="s">
        <v>43</v>
      </c>
      <c r="P81" s="1" t="s">
        <v>75</v>
      </c>
      <c r="Q81" s="1" t="s">
        <v>356</v>
      </c>
      <c r="R81">
        <v>208.16</v>
      </c>
    </row>
    <row r="82" spans="1:18" x14ac:dyDescent="0.3">
      <c r="A82">
        <v>81</v>
      </c>
      <c r="B82" s="1" t="s">
        <v>350</v>
      </c>
      <c r="C82" s="2">
        <v>42898</v>
      </c>
      <c r="D82" s="2">
        <v>42901</v>
      </c>
      <c r="E82" s="1" t="s">
        <v>184</v>
      </c>
      <c r="F82" s="1" t="s">
        <v>351</v>
      </c>
      <c r="G82" s="1" t="s">
        <v>352</v>
      </c>
      <c r="H82" s="1" t="s">
        <v>39</v>
      </c>
      <c r="I82" s="1" t="s">
        <v>27</v>
      </c>
      <c r="J82" s="1" t="s">
        <v>353</v>
      </c>
      <c r="K82" s="1" t="s">
        <v>354</v>
      </c>
      <c r="L82">
        <v>35601</v>
      </c>
      <c r="M82" s="1" t="s">
        <v>8</v>
      </c>
      <c r="N82" s="1" t="s">
        <v>357</v>
      </c>
      <c r="O82" s="1" t="s">
        <v>43</v>
      </c>
      <c r="P82" s="1" t="s">
        <v>72</v>
      </c>
      <c r="Q82" s="1" t="s">
        <v>358</v>
      </c>
      <c r="R82">
        <v>16.739999999999998</v>
      </c>
    </row>
    <row r="83" spans="1:18" x14ac:dyDescent="0.3">
      <c r="A83">
        <v>82</v>
      </c>
      <c r="B83" s="1" t="s">
        <v>359</v>
      </c>
      <c r="C83" s="2">
        <v>42289</v>
      </c>
      <c r="D83" s="2">
        <v>42293</v>
      </c>
      <c r="E83" s="1" t="s">
        <v>47</v>
      </c>
      <c r="F83" s="1" t="s">
        <v>360</v>
      </c>
      <c r="G83" s="1" t="s">
        <v>361</v>
      </c>
      <c r="H83" s="1" t="s">
        <v>26</v>
      </c>
      <c r="I83" s="1" t="s">
        <v>27</v>
      </c>
      <c r="J83" s="1" t="s">
        <v>124</v>
      </c>
      <c r="K83" s="1" t="s">
        <v>41</v>
      </c>
      <c r="L83">
        <v>94122</v>
      </c>
      <c r="M83" s="1" t="s">
        <v>9</v>
      </c>
      <c r="N83" s="1" t="s">
        <v>362</v>
      </c>
      <c r="O83" s="1" t="s">
        <v>43</v>
      </c>
      <c r="P83" s="1" t="s">
        <v>65</v>
      </c>
      <c r="Q83" s="1" t="s">
        <v>363</v>
      </c>
      <c r="R83">
        <v>14.9</v>
      </c>
    </row>
    <row r="84" spans="1:18" x14ac:dyDescent="0.3">
      <c r="A84">
        <v>83</v>
      </c>
      <c r="B84" s="1" t="s">
        <v>359</v>
      </c>
      <c r="C84" s="2">
        <v>42289</v>
      </c>
      <c r="D84" s="2">
        <v>42293</v>
      </c>
      <c r="E84" s="1" t="s">
        <v>47</v>
      </c>
      <c r="F84" s="1" t="s">
        <v>360</v>
      </c>
      <c r="G84" s="1" t="s">
        <v>361</v>
      </c>
      <c r="H84" s="1" t="s">
        <v>26</v>
      </c>
      <c r="I84" s="1" t="s">
        <v>27</v>
      </c>
      <c r="J84" s="1" t="s">
        <v>124</v>
      </c>
      <c r="K84" s="1" t="s">
        <v>41</v>
      </c>
      <c r="L84">
        <v>94122</v>
      </c>
      <c r="M84" s="1" t="s">
        <v>9</v>
      </c>
      <c r="N84" s="1" t="s">
        <v>364</v>
      </c>
      <c r="O84" s="1" t="s">
        <v>43</v>
      </c>
      <c r="P84" s="1" t="s">
        <v>56</v>
      </c>
      <c r="Q84" s="1" t="s">
        <v>365</v>
      </c>
      <c r="R84">
        <v>21.39</v>
      </c>
    </row>
    <row r="85" spans="1:18" x14ac:dyDescent="0.3">
      <c r="A85">
        <v>84</v>
      </c>
      <c r="B85" s="1" t="s">
        <v>366</v>
      </c>
      <c r="C85" s="2">
        <v>42616</v>
      </c>
      <c r="D85" s="2">
        <v>42621</v>
      </c>
      <c r="E85" s="1" t="s">
        <v>47</v>
      </c>
      <c r="F85" s="1" t="s">
        <v>367</v>
      </c>
      <c r="G85" s="1" t="s">
        <v>368</v>
      </c>
      <c r="H85" s="1" t="s">
        <v>39</v>
      </c>
      <c r="I85" s="1" t="s">
        <v>27</v>
      </c>
      <c r="J85" s="1" t="s">
        <v>369</v>
      </c>
      <c r="K85" s="1" t="s">
        <v>85</v>
      </c>
      <c r="L85">
        <v>27707</v>
      </c>
      <c r="M85" s="1" t="s">
        <v>8</v>
      </c>
      <c r="N85" s="1" t="s">
        <v>370</v>
      </c>
      <c r="O85" s="1" t="s">
        <v>43</v>
      </c>
      <c r="P85" s="1" t="s">
        <v>169</v>
      </c>
      <c r="Q85" s="1" t="s">
        <v>371</v>
      </c>
      <c r="R85">
        <v>200.98400000000001</v>
      </c>
    </row>
    <row r="86" spans="1:18" x14ac:dyDescent="0.3">
      <c r="A86">
        <v>85</v>
      </c>
      <c r="B86" s="1" t="s">
        <v>372</v>
      </c>
      <c r="C86" s="2">
        <v>43417</v>
      </c>
      <c r="D86" s="2">
        <v>43420</v>
      </c>
      <c r="E86" s="1" t="s">
        <v>184</v>
      </c>
      <c r="F86" s="1" t="s">
        <v>373</v>
      </c>
      <c r="G86" s="1" t="s">
        <v>374</v>
      </c>
      <c r="H86" s="1" t="s">
        <v>99</v>
      </c>
      <c r="I86" s="1" t="s">
        <v>27</v>
      </c>
      <c r="J86" s="1" t="s">
        <v>299</v>
      </c>
      <c r="K86" s="1" t="s">
        <v>207</v>
      </c>
      <c r="L86">
        <v>60623</v>
      </c>
      <c r="M86" s="1" t="s">
        <v>102</v>
      </c>
      <c r="N86" s="1" t="s">
        <v>375</v>
      </c>
      <c r="O86" s="1" t="s">
        <v>43</v>
      </c>
      <c r="P86" s="1" t="s">
        <v>56</v>
      </c>
      <c r="Q86" s="1" t="s">
        <v>376</v>
      </c>
      <c r="R86">
        <v>230.376</v>
      </c>
    </row>
    <row r="87" spans="1:18" x14ac:dyDescent="0.3">
      <c r="A87">
        <v>86</v>
      </c>
      <c r="B87" s="1" t="s">
        <v>377</v>
      </c>
      <c r="C87" s="2">
        <v>43248</v>
      </c>
      <c r="D87" s="2">
        <v>43250</v>
      </c>
      <c r="E87" s="1" t="s">
        <v>23</v>
      </c>
      <c r="F87" s="1" t="s">
        <v>231</v>
      </c>
      <c r="G87" s="1" t="s">
        <v>232</v>
      </c>
      <c r="H87" s="1" t="s">
        <v>26</v>
      </c>
      <c r="I87" s="1" t="s">
        <v>27</v>
      </c>
      <c r="J87" s="1" t="s">
        <v>378</v>
      </c>
      <c r="K87" s="1" t="s">
        <v>379</v>
      </c>
      <c r="L87">
        <v>29203</v>
      </c>
      <c r="M87" s="1" t="s">
        <v>8</v>
      </c>
      <c r="N87" s="1" t="s">
        <v>380</v>
      </c>
      <c r="O87" s="1" t="s">
        <v>5</v>
      </c>
      <c r="P87" s="1" t="s">
        <v>34</v>
      </c>
      <c r="Q87" s="1" t="s">
        <v>381</v>
      </c>
      <c r="R87">
        <v>301.95999999999998</v>
      </c>
    </row>
    <row r="88" spans="1:18" x14ac:dyDescent="0.3">
      <c r="A88">
        <v>87</v>
      </c>
      <c r="B88" s="1" t="s">
        <v>382</v>
      </c>
      <c r="C88" s="2">
        <v>43399</v>
      </c>
      <c r="D88" s="2">
        <v>43406</v>
      </c>
      <c r="E88" s="1" t="s">
        <v>47</v>
      </c>
      <c r="F88" s="1" t="s">
        <v>383</v>
      </c>
      <c r="G88" s="1" t="s">
        <v>384</v>
      </c>
      <c r="H88" s="1" t="s">
        <v>26</v>
      </c>
      <c r="I88" s="1" t="s">
        <v>27</v>
      </c>
      <c r="J88" s="1" t="s">
        <v>385</v>
      </c>
      <c r="K88" s="1" t="s">
        <v>225</v>
      </c>
      <c r="L88">
        <v>55901</v>
      </c>
      <c r="M88" s="1" t="s">
        <v>102</v>
      </c>
      <c r="N88" s="1" t="s">
        <v>386</v>
      </c>
      <c r="O88" s="1" t="s">
        <v>68</v>
      </c>
      <c r="P88" s="1" t="s">
        <v>157</v>
      </c>
      <c r="Q88" s="1" t="s">
        <v>387</v>
      </c>
      <c r="R88">
        <v>19.989999999999998</v>
      </c>
    </row>
    <row r="89" spans="1:18" x14ac:dyDescent="0.3">
      <c r="A89">
        <v>88</v>
      </c>
      <c r="B89" s="1" t="s">
        <v>382</v>
      </c>
      <c r="C89" s="2">
        <v>43399</v>
      </c>
      <c r="D89" s="2">
        <v>43406</v>
      </c>
      <c r="E89" s="1" t="s">
        <v>47</v>
      </c>
      <c r="F89" s="1" t="s">
        <v>383</v>
      </c>
      <c r="G89" s="1" t="s">
        <v>384</v>
      </c>
      <c r="H89" s="1" t="s">
        <v>26</v>
      </c>
      <c r="I89" s="1" t="s">
        <v>27</v>
      </c>
      <c r="J89" s="1" t="s">
        <v>385</v>
      </c>
      <c r="K89" s="1" t="s">
        <v>225</v>
      </c>
      <c r="L89">
        <v>55901</v>
      </c>
      <c r="M89" s="1" t="s">
        <v>102</v>
      </c>
      <c r="N89" s="1" t="s">
        <v>388</v>
      </c>
      <c r="O89" s="1" t="s">
        <v>43</v>
      </c>
      <c r="P89" s="1" t="s">
        <v>44</v>
      </c>
      <c r="Q89" s="1" t="s">
        <v>389</v>
      </c>
      <c r="R89">
        <v>6.16</v>
      </c>
    </row>
    <row r="90" spans="1:18" x14ac:dyDescent="0.3">
      <c r="A90">
        <v>89</v>
      </c>
      <c r="B90" s="1" t="s">
        <v>390</v>
      </c>
      <c r="C90" s="2">
        <v>42830</v>
      </c>
      <c r="D90" s="2">
        <v>42835</v>
      </c>
      <c r="E90" s="1" t="s">
        <v>23</v>
      </c>
      <c r="F90" s="1" t="s">
        <v>391</v>
      </c>
      <c r="G90" s="1" t="s">
        <v>392</v>
      </c>
      <c r="H90" s="1" t="s">
        <v>99</v>
      </c>
      <c r="I90" s="1" t="s">
        <v>27</v>
      </c>
      <c r="J90" s="1" t="s">
        <v>180</v>
      </c>
      <c r="K90" s="1" t="s">
        <v>101</v>
      </c>
      <c r="L90">
        <v>77095</v>
      </c>
      <c r="M90" s="1" t="s">
        <v>102</v>
      </c>
      <c r="N90" s="1" t="s">
        <v>393</v>
      </c>
      <c r="O90" s="1" t="s">
        <v>43</v>
      </c>
      <c r="P90" s="1" t="s">
        <v>56</v>
      </c>
      <c r="Q90" s="1" t="s">
        <v>394</v>
      </c>
      <c r="R90">
        <v>158.36799999999999</v>
      </c>
    </row>
    <row r="91" spans="1:18" x14ac:dyDescent="0.3">
      <c r="A91">
        <v>90</v>
      </c>
      <c r="B91" s="1" t="s">
        <v>395</v>
      </c>
      <c r="C91" s="2">
        <v>42995</v>
      </c>
      <c r="D91" s="2">
        <v>43000</v>
      </c>
      <c r="E91" s="1" t="s">
        <v>47</v>
      </c>
      <c r="F91" s="1" t="s">
        <v>396</v>
      </c>
      <c r="G91" s="1" t="s">
        <v>397</v>
      </c>
      <c r="H91" s="1" t="s">
        <v>39</v>
      </c>
      <c r="I91" s="1" t="s">
        <v>27</v>
      </c>
      <c r="J91" s="1" t="s">
        <v>40</v>
      </c>
      <c r="K91" s="1" t="s">
        <v>41</v>
      </c>
      <c r="L91">
        <v>90036</v>
      </c>
      <c r="M91" s="1" t="s">
        <v>9</v>
      </c>
      <c r="N91" s="1" t="s">
        <v>398</v>
      </c>
      <c r="O91" s="1" t="s">
        <v>43</v>
      </c>
      <c r="P91" s="1" t="s">
        <v>65</v>
      </c>
      <c r="Q91" s="1" t="s">
        <v>399</v>
      </c>
      <c r="R91">
        <v>20.100000000000001</v>
      </c>
    </row>
    <row r="92" spans="1:18" x14ac:dyDescent="0.3">
      <c r="A92">
        <v>91</v>
      </c>
      <c r="B92" s="1" t="s">
        <v>395</v>
      </c>
      <c r="C92" s="2">
        <v>42995</v>
      </c>
      <c r="D92" s="2">
        <v>43000</v>
      </c>
      <c r="E92" s="1" t="s">
        <v>47</v>
      </c>
      <c r="F92" s="1" t="s">
        <v>396</v>
      </c>
      <c r="G92" s="1" t="s">
        <v>397</v>
      </c>
      <c r="H92" s="1" t="s">
        <v>39</v>
      </c>
      <c r="I92" s="1" t="s">
        <v>27</v>
      </c>
      <c r="J92" s="1" t="s">
        <v>40</v>
      </c>
      <c r="K92" s="1" t="s">
        <v>41</v>
      </c>
      <c r="L92">
        <v>90036</v>
      </c>
      <c r="M92" s="1" t="s">
        <v>9</v>
      </c>
      <c r="N92" s="1" t="s">
        <v>208</v>
      </c>
      <c r="O92" s="1" t="s">
        <v>68</v>
      </c>
      <c r="P92" s="1" t="s">
        <v>69</v>
      </c>
      <c r="Q92" s="1" t="s">
        <v>209</v>
      </c>
      <c r="R92">
        <v>73.584000000000003</v>
      </c>
    </row>
    <row r="93" spans="1:18" x14ac:dyDescent="0.3">
      <c r="A93">
        <v>92</v>
      </c>
      <c r="B93" s="1" t="s">
        <v>395</v>
      </c>
      <c r="C93" s="2">
        <v>42995</v>
      </c>
      <c r="D93" s="2">
        <v>43000</v>
      </c>
      <c r="E93" s="1" t="s">
        <v>47</v>
      </c>
      <c r="F93" s="1" t="s">
        <v>396</v>
      </c>
      <c r="G93" s="1" t="s">
        <v>397</v>
      </c>
      <c r="H93" s="1" t="s">
        <v>39</v>
      </c>
      <c r="I93" s="1" t="s">
        <v>27</v>
      </c>
      <c r="J93" s="1" t="s">
        <v>40</v>
      </c>
      <c r="K93" s="1" t="s">
        <v>41</v>
      </c>
      <c r="L93">
        <v>90036</v>
      </c>
      <c r="M93" s="1" t="s">
        <v>9</v>
      </c>
      <c r="N93" s="1" t="s">
        <v>400</v>
      </c>
      <c r="O93" s="1" t="s">
        <v>43</v>
      </c>
      <c r="P93" s="1" t="s">
        <v>87</v>
      </c>
      <c r="Q93" s="1" t="s">
        <v>401</v>
      </c>
      <c r="R93">
        <v>6.48</v>
      </c>
    </row>
    <row r="94" spans="1:18" x14ac:dyDescent="0.3">
      <c r="A94">
        <v>93</v>
      </c>
      <c r="B94" s="1" t="s">
        <v>402</v>
      </c>
      <c r="C94" s="2">
        <v>42400</v>
      </c>
      <c r="D94" s="2">
        <v>42405</v>
      </c>
      <c r="E94" s="1" t="s">
        <v>23</v>
      </c>
      <c r="F94" s="1" t="s">
        <v>403</v>
      </c>
      <c r="G94" s="1" t="s">
        <v>404</v>
      </c>
      <c r="H94" s="1" t="s">
        <v>26</v>
      </c>
      <c r="I94" s="1" t="s">
        <v>27</v>
      </c>
      <c r="J94" s="1" t="s">
        <v>405</v>
      </c>
      <c r="K94" s="1" t="s">
        <v>225</v>
      </c>
      <c r="L94">
        <v>55407</v>
      </c>
      <c r="M94" s="1" t="s">
        <v>102</v>
      </c>
      <c r="N94" s="1" t="s">
        <v>406</v>
      </c>
      <c r="O94" s="1" t="s">
        <v>43</v>
      </c>
      <c r="P94" s="1" t="s">
        <v>87</v>
      </c>
      <c r="Q94" s="1" t="s">
        <v>407</v>
      </c>
      <c r="R94">
        <v>12.96</v>
      </c>
    </row>
    <row r="95" spans="1:18" x14ac:dyDescent="0.3">
      <c r="A95">
        <v>94</v>
      </c>
      <c r="B95" s="1" t="s">
        <v>402</v>
      </c>
      <c r="C95" s="2">
        <v>42400</v>
      </c>
      <c r="D95" s="2">
        <v>42405</v>
      </c>
      <c r="E95" s="1" t="s">
        <v>23</v>
      </c>
      <c r="F95" s="1" t="s">
        <v>403</v>
      </c>
      <c r="G95" s="1" t="s">
        <v>404</v>
      </c>
      <c r="H95" s="1" t="s">
        <v>26</v>
      </c>
      <c r="I95" s="1" t="s">
        <v>27</v>
      </c>
      <c r="J95" s="1" t="s">
        <v>405</v>
      </c>
      <c r="K95" s="1" t="s">
        <v>225</v>
      </c>
      <c r="L95">
        <v>55407</v>
      </c>
      <c r="M95" s="1" t="s">
        <v>102</v>
      </c>
      <c r="N95" s="1" t="s">
        <v>408</v>
      </c>
      <c r="O95" s="1" t="s">
        <v>5</v>
      </c>
      <c r="P95" s="1" t="s">
        <v>62</v>
      </c>
      <c r="Q95" s="1" t="s">
        <v>409</v>
      </c>
      <c r="R95">
        <v>53.34</v>
      </c>
    </row>
    <row r="96" spans="1:18" x14ac:dyDescent="0.3">
      <c r="A96">
        <v>95</v>
      </c>
      <c r="B96" s="1" t="s">
        <v>402</v>
      </c>
      <c r="C96" s="2">
        <v>42400</v>
      </c>
      <c r="D96" s="2">
        <v>42405</v>
      </c>
      <c r="E96" s="1" t="s">
        <v>23</v>
      </c>
      <c r="F96" s="1" t="s">
        <v>403</v>
      </c>
      <c r="G96" s="1" t="s">
        <v>404</v>
      </c>
      <c r="H96" s="1" t="s">
        <v>26</v>
      </c>
      <c r="I96" s="1" t="s">
        <v>27</v>
      </c>
      <c r="J96" s="1" t="s">
        <v>405</v>
      </c>
      <c r="K96" s="1" t="s">
        <v>225</v>
      </c>
      <c r="L96">
        <v>55407</v>
      </c>
      <c r="M96" s="1" t="s">
        <v>102</v>
      </c>
      <c r="N96" s="1" t="s">
        <v>410</v>
      </c>
      <c r="O96" s="1" t="s">
        <v>43</v>
      </c>
      <c r="P96" s="1" t="s">
        <v>72</v>
      </c>
      <c r="Q96" s="1" t="s">
        <v>411</v>
      </c>
      <c r="R96">
        <v>32.96</v>
      </c>
    </row>
    <row r="97" spans="1:18" x14ac:dyDescent="0.3">
      <c r="A97">
        <v>96</v>
      </c>
      <c r="B97" s="1" t="s">
        <v>412</v>
      </c>
      <c r="C97" s="2">
        <v>43410</v>
      </c>
      <c r="D97" s="2">
        <v>43416</v>
      </c>
      <c r="E97" s="1" t="s">
        <v>47</v>
      </c>
      <c r="F97" s="1" t="s">
        <v>413</v>
      </c>
      <c r="G97" s="1" t="s">
        <v>414</v>
      </c>
      <c r="H97" s="1" t="s">
        <v>99</v>
      </c>
      <c r="I97" s="1" t="s">
        <v>27</v>
      </c>
      <c r="J97" s="1" t="s">
        <v>415</v>
      </c>
      <c r="K97" s="1" t="s">
        <v>416</v>
      </c>
      <c r="L97">
        <v>97206</v>
      </c>
      <c r="M97" s="1" t="s">
        <v>9</v>
      </c>
      <c r="N97" s="1" t="s">
        <v>417</v>
      </c>
      <c r="O97" s="1" t="s">
        <v>43</v>
      </c>
      <c r="P97" s="1" t="s">
        <v>72</v>
      </c>
      <c r="Q97" s="1" t="s">
        <v>418</v>
      </c>
      <c r="R97">
        <v>5.6820000000000004</v>
      </c>
    </row>
    <row r="98" spans="1:18" x14ac:dyDescent="0.3">
      <c r="A98">
        <v>97</v>
      </c>
      <c r="B98" s="1" t="s">
        <v>419</v>
      </c>
      <c r="C98" s="2">
        <v>43413</v>
      </c>
      <c r="D98" s="2">
        <v>43415</v>
      </c>
      <c r="E98" s="1" t="s">
        <v>23</v>
      </c>
      <c r="F98" s="1" t="s">
        <v>420</v>
      </c>
      <c r="G98" s="1" t="s">
        <v>421</v>
      </c>
      <c r="H98" s="1" t="s">
        <v>99</v>
      </c>
      <c r="I98" s="1" t="s">
        <v>27</v>
      </c>
      <c r="J98" s="1" t="s">
        <v>262</v>
      </c>
      <c r="K98" s="1" t="s">
        <v>263</v>
      </c>
      <c r="L98">
        <v>10009</v>
      </c>
      <c r="M98" s="1" t="s">
        <v>10</v>
      </c>
      <c r="N98" s="1" t="s">
        <v>422</v>
      </c>
      <c r="O98" s="1" t="s">
        <v>5</v>
      </c>
      <c r="P98" s="1" t="s">
        <v>62</v>
      </c>
      <c r="Q98" s="1" t="s">
        <v>423</v>
      </c>
      <c r="R98">
        <v>96.53</v>
      </c>
    </row>
    <row r="99" spans="1:18" x14ac:dyDescent="0.3">
      <c r="A99">
        <v>98</v>
      </c>
      <c r="B99" s="1" t="s">
        <v>424</v>
      </c>
      <c r="C99" s="2">
        <v>43268</v>
      </c>
      <c r="D99" s="2">
        <v>43271</v>
      </c>
      <c r="E99" s="1" t="s">
        <v>184</v>
      </c>
      <c r="F99" s="1" t="s">
        <v>425</v>
      </c>
      <c r="G99" s="1" t="s">
        <v>426</v>
      </c>
      <c r="H99" s="1" t="s">
        <v>26</v>
      </c>
      <c r="I99" s="1" t="s">
        <v>27</v>
      </c>
      <c r="J99" s="1" t="s">
        <v>124</v>
      </c>
      <c r="K99" s="1" t="s">
        <v>41</v>
      </c>
      <c r="L99">
        <v>94122</v>
      </c>
      <c r="M99" s="1" t="s">
        <v>9</v>
      </c>
      <c r="N99" s="1" t="s">
        <v>427</v>
      </c>
      <c r="O99" s="1" t="s">
        <v>43</v>
      </c>
      <c r="P99" s="1" t="s">
        <v>72</v>
      </c>
      <c r="Q99" s="1" t="s">
        <v>428</v>
      </c>
      <c r="R99">
        <v>51.311999999999998</v>
      </c>
    </row>
    <row r="100" spans="1:18" x14ac:dyDescent="0.3">
      <c r="A100">
        <v>99</v>
      </c>
      <c r="B100" s="1" t="s">
        <v>429</v>
      </c>
      <c r="C100" s="2">
        <v>42984</v>
      </c>
      <c r="D100" s="2">
        <v>42989</v>
      </c>
      <c r="E100" s="1" t="s">
        <v>47</v>
      </c>
      <c r="F100" s="1" t="s">
        <v>430</v>
      </c>
      <c r="G100" s="1" t="s">
        <v>431</v>
      </c>
      <c r="H100" s="1" t="s">
        <v>39</v>
      </c>
      <c r="I100" s="1" t="s">
        <v>27</v>
      </c>
      <c r="J100" s="1" t="s">
        <v>432</v>
      </c>
      <c r="K100" s="1" t="s">
        <v>225</v>
      </c>
      <c r="L100">
        <v>55106</v>
      </c>
      <c r="M100" s="1" t="s">
        <v>102</v>
      </c>
      <c r="N100" s="1" t="s">
        <v>433</v>
      </c>
      <c r="O100" s="1" t="s">
        <v>43</v>
      </c>
      <c r="P100" s="1" t="s">
        <v>75</v>
      </c>
      <c r="Q100" s="1" t="s">
        <v>434</v>
      </c>
      <c r="R100">
        <v>77.88</v>
      </c>
    </row>
    <row r="101" spans="1:18" x14ac:dyDescent="0.3">
      <c r="A101">
        <v>100</v>
      </c>
      <c r="B101" s="1" t="s">
        <v>435</v>
      </c>
      <c r="C101" s="2">
        <v>42976</v>
      </c>
      <c r="D101" s="2">
        <v>42980</v>
      </c>
      <c r="E101" s="1" t="s">
        <v>47</v>
      </c>
      <c r="F101" s="1" t="s">
        <v>436</v>
      </c>
      <c r="G101" s="1" t="s">
        <v>437</v>
      </c>
      <c r="H101" s="1" t="s">
        <v>99</v>
      </c>
      <c r="I101" s="1" t="s">
        <v>27</v>
      </c>
      <c r="J101" s="1" t="s">
        <v>299</v>
      </c>
      <c r="K101" s="1" t="s">
        <v>207</v>
      </c>
      <c r="L101">
        <v>60610</v>
      </c>
      <c r="M101" s="1" t="s">
        <v>102</v>
      </c>
      <c r="N101" s="1" t="s">
        <v>438</v>
      </c>
      <c r="O101" s="1" t="s">
        <v>43</v>
      </c>
      <c r="P101" s="1" t="s">
        <v>87</v>
      </c>
      <c r="Q101" s="1" t="s">
        <v>439</v>
      </c>
      <c r="R101">
        <v>64.623999999999995</v>
      </c>
    </row>
    <row r="102" spans="1:18" x14ac:dyDescent="0.3">
      <c r="A102">
        <v>101</v>
      </c>
      <c r="B102" s="1" t="s">
        <v>435</v>
      </c>
      <c r="C102" s="2">
        <v>42976</v>
      </c>
      <c r="D102" s="2">
        <v>42980</v>
      </c>
      <c r="E102" s="1" t="s">
        <v>47</v>
      </c>
      <c r="F102" s="1" t="s">
        <v>436</v>
      </c>
      <c r="G102" s="1" t="s">
        <v>437</v>
      </c>
      <c r="H102" s="1" t="s">
        <v>99</v>
      </c>
      <c r="I102" s="1" t="s">
        <v>27</v>
      </c>
      <c r="J102" s="1" t="s">
        <v>299</v>
      </c>
      <c r="K102" s="1" t="s">
        <v>207</v>
      </c>
      <c r="L102">
        <v>60610</v>
      </c>
      <c r="M102" s="1" t="s">
        <v>102</v>
      </c>
      <c r="N102" s="1" t="s">
        <v>440</v>
      </c>
      <c r="O102" s="1" t="s">
        <v>68</v>
      </c>
      <c r="P102" s="1" t="s">
        <v>157</v>
      </c>
      <c r="Q102" s="1" t="s">
        <v>441</v>
      </c>
      <c r="R102">
        <v>95.975999999999999</v>
      </c>
    </row>
    <row r="103" spans="1:18" x14ac:dyDescent="0.3">
      <c r="A103">
        <v>102</v>
      </c>
      <c r="B103" s="1" t="s">
        <v>435</v>
      </c>
      <c r="C103" s="2">
        <v>42976</v>
      </c>
      <c r="D103" s="2">
        <v>42980</v>
      </c>
      <c r="E103" s="1" t="s">
        <v>47</v>
      </c>
      <c r="F103" s="1" t="s">
        <v>436</v>
      </c>
      <c r="G103" s="1" t="s">
        <v>437</v>
      </c>
      <c r="H103" s="1" t="s">
        <v>99</v>
      </c>
      <c r="I103" s="1" t="s">
        <v>27</v>
      </c>
      <c r="J103" s="1" t="s">
        <v>299</v>
      </c>
      <c r="K103" s="1" t="s">
        <v>207</v>
      </c>
      <c r="L103">
        <v>60610</v>
      </c>
      <c r="M103" s="1" t="s">
        <v>102</v>
      </c>
      <c r="N103" s="1" t="s">
        <v>442</v>
      </c>
      <c r="O103" s="1" t="s">
        <v>43</v>
      </c>
      <c r="P103" s="1" t="s">
        <v>72</v>
      </c>
      <c r="Q103" s="1" t="s">
        <v>443</v>
      </c>
      <c r="R103">
        <v>1.788</v>
      </c>
    </row>
    <row r="104" spans="1:18" x14ac:dyDescent="0.3">
      <c r="A104">
        <v>103</v>
      </c>
      <c r="B104" s="1" t="s">
        <v>444</v>
      </c>
      <c r="C104" s="2">
        <v>43070</v>
      </c>
      <c r="D104" s="2">
        <v>43073</v>
      </c>
      <c r="E104" s="1" t="s">
        <v>23</v>
      </c>
      <c r="F104" s="1" t="s">
        <v>445</v>
      </c>
      <c r="G104" s="1" t="s">
        <v>446</v>
      </c>
      <c r="H104" s="1" t="s">
        <v>26</v>
      </c>
      <c r="I104" s="1" t="s">
        <v>27</v>
      </c>
      <c r="J104" s="1" t="s">
        <v>385</v>
      </c>
      <c r="K104" s="1" t="s">
        <v>225</v>
      </c>
      <c r="L104">
        <v>55901</v>
      </c>
      <c r="M104" s="1" t="s">
        <v>102</v>
      </c>
      <c r="N104" s="1" t="s">
        <v>447</v>
      </c>
      <c r="O104" s="1" t="s">
        <v>43</v>
      </c>
      <c r="P104" s="1" t="s">
        <v>87</v>
      </c>
      <c r="Q104" s="1" t="s">
        <v>448</v>
      </c>
      <c r="R104">
        <v>23.92</v>
      </c>
    </row>
    <row r="105" spans="1:18" x14ac:dyDescent="0.3">
      <c r="A105">
        <v>104</v>
      </c>
      <c r="B105" s="1" t="s">
        <v>449</v>
      </c>
      <c r="C105" s="2">
        <v>42687</v>
      </c>
      <c r="D105" s="2">
        <v>42691</v>
      </c>
      <c r="E105" s="1" t="s">
        <v>47</v>
      </c>
      <c r="F105" s="1" t="s">
        <v>450</v>
      </c>
      <c r="G105" s="1" t="s">
        <v>451</v>
      </c>
      <c r="H105" s="1" t="s">
        <v>26</v>
      </c>
      <c r="I105" s="1" t="s">
        <v>27</v>
      </c>
      <c r="J105" s="1" t="s">
        <v>452</v>
      </c>
      <c r="K105" s="1" t="s">
        <v>453</v>
      </c>
      <c r="L105">
        <v>80013</v>
      </c>
      <c r="M105" s="1" t="s">
        <v>9</v>
      </c>
      <c r="N105" s="1" t="s">
        <v>454</v>
      </c>
      <c r="O105" s="1" t="s">
        <v>68</v>
      </c>
      <c r="P105" s="1" t="s">
        <v>157</v>
      </c>
      <c r="Q105" s="1" t="s">
        <v>455</v>
      </c>
      <c r="R105">
        <v>238.89599999999999</v>
      </c>
    </row>
    <row r="106" spans="1:18" x14ac:dyDescent="0.3">
      <c r="A106">
        <v>105</v>
      </c>
      <c r="B106" s="1" t="s">
        <v>449</v>
      </c>
      <c r="C106" s="2">
        <v>42687</v>
      </c>
      <c r="D106" s="2">
        <v>42691</v>
      </c>
      <c r="E106" s="1" t="s">
        <v>47</v>
      </c>
      <c r="F106" s="1" t="s">
        <v>450</v>
      </c>
      <c r="G106" s="1" t="s">
        <v>451</v>
      </c>
      <c r="H106" s="1" t="s">
        <v>26</v>
      </c>
      <c r="I106" s="1" t="s">
        <v>27</v>
      </c>
      <c r="J106" s="1" t="s">
        <v>452</v>
      </c>
      <c r="K106" s="1" t="s">
        <v>453</v>
      </c>
      <c r="L106">
        <v>80013</v>
      </c>
      <c r="M106" s="1" t="s">
        <v>9</v>
      </c>
      <c r="N106" s="1" t="s">
        <v>456</v>
      </c>
      <c r="O106" s="1" t="s">
        <v>5</v>
      </c>
      <c r="P106" s="1" t="s">
        <v>62</v>
      </c>
      <c r="Q106" s="1" t="s">
        <v>457</v>
      </c>
      <c r="R106">
        <v>102.36</v>
      </c>
    </row>
    <row r="107" spans="1:18" x14ac:dyDescent="0.3">
      <c r="A107">
        <v>106</v>
      </c>
      <c r="B107" s="1" t="s">
        <v>449</v>
      </c>
      <c r="C107" s="2">
        <v>42687</v>
      </c>
      <c r="D107" s="2">
        <v>42691</v>
      </c>
      <c r="E107" s="1" t="s">
        <v>47</v>
      </c>
      <c r="F107" s="1" t="s">
        <v>450</v>
      </c>
      <c r="G107" s="1" t="s">
        <v>451</v>
      </c>
      <c r="H107" s="1" t="s">
        <v>26</v>
      </c>
      <c r="I107" s="1" t="s">
        <v>27</v>
      </c>
      <c r="J107" s="1" t="s">
        <v>452</v>
      </c>
      <c r="K107" s="1" t="s">
        <v>453</v>
      </c>
      <c r="L107">
        <v>80013</v>
      </c>
      <c r="M107" s="1" t="s">
        <v>9</v>
      </c>
      <c r="N107" s="1" t="s">
        <v>458</v>
      </c>
      <c r="O107" s="1" t="s">
        <v>43</v>
      </c>
      <c r="P107" s="1" t="s">
        <v>72</v>
      </c>
      <c r="Q107" s="1" t="s">
        <v>459</v>
      </c>
      <c r="R107">
        <v>36.881999999999998</v>
      </c>
    </row>
    <row r="108" spans="1:18" x14ac:dyDescent="0.3">
      <c r="A108">
        <v>107</v>
      </c>
      <c r="B108" s="1" t="s">
        <v>460</v>
      </c>
      <c r="C108" s="2">
        <v>43427</v>
      </c>
      <c r="D108" s="2">
        <v>43432</v>
      </c>
      <c r="E108" s="1" t="s">
        <v>47</v>
      </c>
      <c r="F108" s="1" t="s">
        <v>461</v>
      </c>
      <c r="G108" s="1" t="s">
        <v>462</v>
      </c>
      <c r="H108" s="1" t="s">
        <v>26</v>
      </c>
      <c r="I108" s="1" t="s">
        <v>27</v>
      </c>
      <c r="J108" s="1" t="s">
        <v>463</v>
      </c>
      <c r="K108" s="1" t="s">
        <v>85</v>
      </c>
      <c r="L108">
        <v>28205</v>
      </c>
      <c r="M108" s="1" t="s">
        <v>8</v>
      </c>
      <c r="N108" s="1" t="s">
        <v>464</v>
      </c>
      <c r="O108" s="1" t="s">
        <v>68</v>
      </c>
      <c r="P108" s="1" t="s">
        <v>157</v>
      </c>
      <c r="Q108" s="1" t="s">
        <v>465</v>
      </c>
      <c r="R108">
        <v>74.111999999999995</v>
      </c>
    </row>
    <row r="109" spans="1:18" x14ac:dyDescent="0.3">
      <c r="A109">
        <v>108</v>
      </c>
      <c r="B109" s="1" t="s">
        <v>460</v>
      </c>
      <c r="C109" s="2">
        <v>43427</v>
      </c>
      <c r="D109" s="2">
        <v>43432</v>
      </c>
      <c r="E109" s="1" t="s">
        <v>47</v>
      </c>
      <c r="F109" s="1" t="s">
        <v>461</v>
      </c>
      <c r="G109" s="1" t="s">
        <v>462</v>
      </c>
      <c r="H109" s="1" t="s">
        <v>26</v>
      </c>
      <c r="I109" s="1" t="s">
        <v>27</v>
      </c>
      <c r="J109" s="1" t="s">
        <v>463</v>
      </c>
      <c r="K109" s="1" t="s">
        <v>85</v>
      </c>
      <c r="L109">
        <v>28205</v>
      </c>
      <c r="M109" s="1" t="s">
        <v>8</v>
      </c>
      <c r="N109" s="1" t="s">
        <v>466</v>
      </c>
      <c r="O109" s="1" t="s">
        <v>68</v>
      </c>
      <c r="P109" s="1" t="s">
        <v>69</v>
      </c>
      <c r="Q109" s="1" t="s">
        <v>467</v>
      </c>
      <c r="R109">
        <v>27.992000000000001</v>
      </c>
    </row>
    <row r="110" spans="1:18" x14ac:dyDescent="0.3">
      <c r="A110">
        <v>109</v>
      </c>
      <c r="B110" s="1" t="s">
        <v>460</v>
      </c>
      <c r="C110" s="2">
        <v>43427</v>
      </c>
      <c r="D110" s="2">
        <v>43432</v>
      </c>
      <c r="E110" s="1" t="s">
        <v>47</v>
      </c>
      <c r="F110" s="1" t="s">
        <v>461</v>
      </c>
      <c r="G110" s="1" t="s">
        <v>462</v>
      </c>
      <c r="H110" s="1" t="s">
        <v>26</v>
      </c>
      <c r="I110" s="1" t="s">
        <v>27</v>
      </c>
      <c r="J110" s="1" t="s">
        <v>463</v>
      </c>
      <c r="K110" s="1" t="s">
        <v>85</v>
      </c>
      <c r="L110">
        <v>28205</v>
      </c>
      <c r="M110" s="1" t="s">
        <v>8</v>
      </c>
      <c r="N110" s="1" t="s">
        <v>468</v>
      </c>
      <c r="O110" s="1" t="s">
        <v>43</v>
      </c>
      <c r="P110" s="1" t="s">
        <v>65</v>
      </c>
      <c r="Q110" s="1" t="s">
        <v>469</v>
      </c>
      <c r="R110">
        <v>3.3039999999999998</v>
      </c>
    </row>
    <row r="111" spans="1:18" x14ac:dyDescent="0.3">
      <c r="A111">
        <v>110</v>
      </c>
      <c r="B111" s="1" t="s">
        <v>470</v>
      </c>
      <c r="C111" s="2">
        <v>42658</v>
      </c>
      <c r="D111" s="2">
        <v>42663</v>
      </c>
      <c r="E111" s="1" t="s">
        <v>47</v>
      </c>
      <c r="F111" s="1" t="s">
        <v>471</v>
      </c>
      <c r="G111" s="1" t="s">
        <v>472</v>
      </c>
      <c r="H111" s="1" t="s">
        <v>99</v>
      </c>
      <c r="I111" s="1" t="s">
        <v>27</v>
      </c>
      <c r="J111" s="1" t="s">
        <v>473</v>
      </c>
      <c r="K111" s="1" t="s">
        <v>207</v>
      </c>
      <c r="L111">
        <v>60462</v>
      </c>
      <c r="M111" s="1" t="s">
        <v>102</v>
      </c>
      <c r="N111" s="1" t="s">
        <v>474</v>
      </c>
      <c r="O111" s="1" t="s">
        <v>68</v>
      </c>
      <c r="P111" s="1" t="s">
        <v>157</v>
      </c>
      <c r="Q111" s="1" t="s">
        <v>475</v>
      </c>
      <c r="R111">
        <v>339.96</v>
      </c>
    </row>
    <row r="112" spans="1:18" x14ac:dyDescent="0.3">
      <c r="A112">
        <v>111</v>
      </c>
      <c r="B112" s="1" t="s">
        <v>476</v>
      </c>
      <c r="C112" s="2">
        <v>43459</v>
      </c>
      <c r="D112" s="2">
        <v>43464</v>
      </c>
      <c r="E112" s="1" t="s">
        <v>47</v>
      </c>
      <c r="F112" s="1" t="s">
        <v>477</v>
      </c>
      <c r="G112" s="1" t="s">
        <v>478</v>
      </c>
      <c r="H112" s="1" t="s">
        <v>39</v>
      </c>
      <c r="I112" s="1" t="s">
        <v>27</v>
      </c>
      <c r="J112" s="1" t="s">
        <v>262</v>
      </c>
      <c r="K112" s="1" t="s">
        <v>263</v>
      </c>
      <c r="L112">
        <v>10035</v>
      </c>
      <c r="M112" s="1" t="s">
        <v>10</v>
      </c>
      <c r="N112" s="1" t="s">
        <v>479</v>
      </c>
      <c r="O112" s="1" t="s">
        <v>5</v>
      </c>
      <c r="P112" s="1" t="s">
        <v>62</v>
      </c>
      <c r="Q112" s="1" t="s">
        <v>480</v>
      </c>
      <c r="R112">
        <v>41.96</v>
      </c>
    </row>
    <row r="113" spans="1:18" x14ac:dyDescent="0.3">
      <c r="A113">
        <v>112</v>
      </c>
      <c r="B113" s="1" t="s">
        <v>481</v>
      </c>
      <c r="C113" s="2">
        <v>43042</v>
      </c>
      <c r="D113" s="2">
        <v>43049</v>
      </c>
      <c r="E113" s="1" t="s">
        <v>47</v>
      </c>
      <c r="F113" s="1" t="s">
        <v>482</v>
      </c>
      <c r="G113" s="1" t="s">
        <v>483</v>
      </c>
      <c r="H113" s="1" t="s">
        <v>26</v>
      </c>
      <c r="I113" s="1" t="s">
        <v>27</v>
      </c>
      <c r="J113" s="1" t="s">
        <v>484</v>
      </c>
      <c r="K113" s="1" t="s">
        <v>485</v>
      </c>
      <c r="L113">
        <v>50322</v>
      </c>
      <c r="M113" s="1" t="s">
        <v>102</v>
      </c>
      <c r="N113" s="1" t="s">
        <v>486</v>
      </c>
      <c r="O113" s="1" t="s">
        <v>43</v>
      </c>
      <c r="P113" s="1" t="s">
        <v>65</v>
      </c>
      <c r="Q113" s="1" t="s">
        <v>487</v>
      </c>
      <c r="R113">
        <v>75.959999999999994</v>
      </c>
    </row>
    <row r="114" spans="1:18" x14ac:dyDescent="0.3">
      <c r="A114">
        <v>113</v>
      </c>
      <c r="B114" s="1" t="s">
        <v>481</v>
      </c>
      <c r="C114" s="2">
        <v>43042</v>
      </c>
      <c r="D114" s="2">
        <v>43049</v>
      </c>
      <c r="E114" s="1" t="s">
        <v>47</v>
      </c>
      <c r="F114" s="1" t="s">
        <v>482</v>
      </c>
      <c r="G114" s="1" t="s">
        <v>483</v>
      </c>
      <c r="H114" s="1" t="s">
        <v>26</v>
      </c>
      <c r="I114" s="1" t="s">
        <v>27</v>
      </c>
      <c r="J114" s="1" t="s">
        <v>484</v>
      </c>
      <c r="K114" s="1" t="s">
        <v>485</v>
      </c>
      <c r="L114">
        <v>50322</v>
      </c>
      <c r="M114" s="1" t="s">
        <v>102</v>
      </c>
      <c r="N114" s="1" t="s">
        <v>488</v>
      </c>
      <c r="O114" s="1" t="s">
        <v>43</v>
      </c>
      <c r="P114" s="1" t="s">
        <v>72</v>
      </c>
      <c r="Q114" s="1" t="s">
        <v>489</v>
      </c>
      <c r="R114">
        <v>27.24</v>
      </c>
    </row>
    <row r="115" spans="1:18" x14ac:dyDescent="0.3">
      <c r="A115">
        <v>114</v>
      </c>
      <c r="B115" s="1" t="s">
        <v>490</v>
      </c>
      <c r="C115" s="2">
        <v>42241</v>
      </c>
      <c r="D115" s="2">
        <v>42243</v>
      </c>
      <c r="E115" s="1" t="s">
        <v>23</v>
      </c>
      <c r="F115" s="1" t="s">
        <v>491</v>
      </c>
      <c r="G115" s="1" t="s">
        <v>492</v>
      </c>
      <c r="H115" s="1" t="s">
        <v>26</v>
      </c>
      <c r="I115" s="1" t="s">
        <v>27</v>
      </c>
      <c r="J115" s="1" t="s">
        <v>493</v>
      </c>
      <c r="K115" s="1" t="s">
        <v>494</v>
      </c>
      <c r="L115">
        <v>43229</v>
      </c>
      <c r="M115" s="1" t="s">
        <v>10</v>
      </c>
      <c r="N115" s="1" t="s">
        <v>495</v>
      </c>
      <c r="O115" s="1" t="s">
        <v>43</v>
      </c>
      <c r="P115" s="1" t="s">
        <v>265</v>
      </c>
      <c r="Q115" s="1" t="s">
        <v>496</v>
      </c>
      <c r="R115">
        <v>40.095999999999997</v>
      </c>
    </row>
    <row r="116" spans="1:18" x14ac:dyDescent="0.3">
      <c r="A116">
        <v>115</v>
      </c>
      <c r="B116" s="1" t="s">
        <v>490</v>
      </c>
      <c r="C116" s="2">
        <v>42241</v>
      </c>
      <c r="D116" s="2">
        <v>42243</v>
      </c>
      <c r="E116" s="1" t="s">
        <v>23</v>
      </c>
      <c r="F116" s="1" t="s">
        <v>491</v>
      </c>
      <c r="G116" s="1" t="s">
        <v>492</v>
      </c>
      <c r="H116" s="1" t="s">
        <v>26</v>
      </c>
      <c r="I116" s="1" t="s">
        <v>27</v>
      </c>
      <c r="J116" s="1" t="s">
        <v>493</v>
      </c>
      <c r="K116" s="1" t="s">
        <v>494</v>
      </c>
      <c r="L116">
        <v>43229</v>
      </c>
      <c r="M116" s="1" t="s">
        <v>10</v>
      </c>
      <c r="N116" s="1" t="s">
        <v>497</v>
      </c>
      <c r="O116" s="1" t="s">
        <v>43</v>
      </c>
      <c r="P116" s="1" t="s">
        <v>169</v>
      </c>
      <c r="Q116" s="1" t="s">
        <v>498</v>
      </c>
      <c r="R116">
        <v>4.72</v>
      </c>
    </row>
    <row r="117" spans="1:18" x14ac:dyDescent="0.3">
      <c r="A117">
        <v>116</v>
      </c>
      <c r="B117" s="1" t="s">
        <v>490</v>
      </c>
      <c r="C117" s="2">
        <v>42241</v>
      </c>
      <c r="D117" s="2">
        <v>42243</v>
      </c>
      <c r="E117" s="1" t="s">
        <v>23</v>
      </c>
      <c r="F117" s="1" t="s">
        <v>491</v>
      </c>
      <c r="G117" s="1" t="s">
        <v>492</v>
      </c>
      <c r="H117" s="1" t="s">
        <v>26</v>
      </c>
      <c r="I117" s="1" t="s">
        <v>27</v>
      </c>
      <c r="J117" s="1" t="s">
        <v>493</v>
      </c>
      <c r="K117" s="1" t="s">
        <v>494</v>
      </c>
      <c r="L117">
        <v>43229</v>
      </c>
      <c r="M117" s="1" t="s">
        <v>10</v>
      </c>
      <c r="N117" s="1" t="s">
        <v>499</v>
      </c>
      <c r="O117" s="1" t="s">
        <v>43</v>
      </c>
      <c r="P117" s="1" t="s">
        <v>87</v>
      </c>
      <c r="Q117" s="1" t="s">
        <v>500</v>
      </c>
      <c r="R117">
        <v>23.975999999999999</v>
      </c>
    </row>
    <row r="118" spans="1:18" x14ac:dyDescent="0.3">
      <c r="A118">
        <v>117</v>
      </c>
      <c r="B118" s="1" t="s">
        <v>490</v>
      </c>
      <c r="C118" s="2">
        <v>42241</v>
      </c>
      <c r="D118" s="2">
        <v>42243</v>
      </c>
      <c r="E118" s="1" t="s">
        <v>23</v>
      </c>
      <c r="F118" s="1" t="s">
        <v>491</v>
      </c>
      <c r="G118" s="1" t="s">
        <v>492</v>
      </c>
      <c r="H118" s="1" t="s">
        <v>26</v>
      </c>
      <c r="I118" s="1" t="s">
        <v>27</v>
      </c>
      <c r="J118" s="1" t="s">
        <v>493</v>
      </c>
      <c r="K118" s="1" t="s">
        <v>494</v>
      </c>
      <c r="L118">
        <v>43229</v>
      </c>
      <c r="M118" s="1" t="s">
        <v>10</v>
      </c>
      <c r="N118" s="1" t="s">
        <v>501</v>
      </c>
      <c r="O118" s="1" t="s">
        <v>43</v>
      </c>
      <c r="P118" s="1" t="s">
        <v>169</v>
      </c>
      <c r="Q118" s="1" t="s">
        <v>502</v>
      </c>
      <c r="R118">
        <v>130.464</v>
      </c>
    </row>
    <row r="119" spans="1:18" x14ac:dyDescent="0.3">
      <c r="A119">
        <v>118</v>
      </c>
      <c r="B119" s="1" t="s">
        <v>503</v>
      </c>
      <c r="C119" s="2">
        <v>42431</v>
      </c>
      <c r="D119" s="2">
        <v>42435</v>
      </c>
      <c r="E119" s="1" t="s">
        <v>47</v>
      </c>
      <c r="F119" s="1" t="s">
        <v>504</v>
      </c>
      <c r="G119" s="1" t="s">
        <v>505</v>
      </c>
      <c r="H119" s="1" t="s">
        <v>26</v>
      </c>
      <c r="I119" s="1" t="s">
        <v>27</v>
      </c>
      <c r="J119" s="1" t="s">
        <v>92</v>
      </c>
      <c r="K119" s="1" t="s">
        <v>93</v>
      </c>
      <c r="L119">
        <v>98103</v>
      </c>
      <c r="M119" s="1" t="s">
        <v>9</v>
      </c>
      <c r="N119" s="1" t="s">
        <v>506</v>
      </c>
      <c r="O119" s="1" t="s">
        <v>5</v>
      </c>
      <c r="P119" s="1" t="s">
        <v>53</v>
      </c>
      <c r="Q119" s="1" t="s">
        <v>507</v>
      </c>
      <c r="R119">
        <v>787.53</v>
      </c>
    </row>
    <row r="120" spans="1:18" x14ac:dyDescent="0.3">
      <c r="A120">
        <v>119</v>
      </c>
      <c r="B120" s="1" t="s">
        <v>508</v>
      </c>
      <c r="C120" s="2">
        <v>42465</v>
      </c>
      <c r="D120" s="2">
        <v>42470</v>
      </c>
      <c r="E120" s="1" t="s">
        <v>47</v>
      </c>
      <c r="F120" s="1" t="s">
        <v>509</v>
      </c>
      <c r="G120" s="1" t="s">
        <v>510</v>
      </c>
      <c r="H120" s="1" t="s">
        <v>39</v>
      </c>
      <c r="I120" s="1" t="s">
        <v>27</v>
      </c>
      <c r="J120" s="1" t="s">
        <v>511</v>
      </c>
      <c r="K120" s="1" t="s">
        <v>331</v>
      </c>
      <c r="L120">
        <v>37620</v>
      </c>
      <c r="M120" s="1" t="s">
        <v>8</v>
      </c>
      <c r="N120" s="1" t="s">
        <v>512</v>
      </c>
      <c r="O120" s="1" t="s">
        <v>43</v>
      </c>
      <c r="P120" s="1" t="s">
        <v>72</v>
      </c>
      <c r="Q120" s="1" t="s">
        <v>513</v>
      </c>
      <c r="R120">
        <v>157.79400000000001</v>
      </c>
    </row>
    <row r="121" spans="1:18" x14ac:dyDescent="0.3">
      <c r="A121">
        <v>120</v>
      </c>
      <c r="B121" s="1" t="s">
        <v>514</v>
      </c>
      <c r="C121" s="2">
        <v>42898</v>
      </c>
      <c r="D121" s="2">
        <v>42901</v>
      </c>
      <c r="E121" s="1" t="s">
        <v>184</v>
      </c>
      <c r="F121" s="1" t="s">
        <v>515</v>
      </c>
      <c r="G121" s="1" t="s">
        <v>516</v>
      </c>
      <c r="H121" s="1" t="s">
        <v>26</v>
      </c>
      <c r="I121" s="1" t="s">
        <v>27</v>
      </c>
      <c r="J121" s="1" t="s">
        <v>517</v>
      </c>
      <c r="K121" s="1" t="s">
        <v>241</v>
      </c>
      <c r="L121">
        <v>19805</v>
      </c>
      <c r="M121" s="1" t="s">
        <v>10</v>
      </c>
      <c r="N121" s="1" t="s">
        <v>518</v>
      </c>
      <c r="O121" s="1" t="s">
        <v>5</v>
      </c>
      <c r="P121" s="1" t="s">
        <v>62</v>
      </c>
      <c r="Q121" s="1" t="s">
        <v>519</v>
      </c>
      <c r="R121">
        <v>47.04</v>
      </c>
    </row>
    <row r="122" spans="1:18" x14ac:dyDescent="0.3">
      <c r="A122">
        <v>121</v>
      </c>
      <c r="B122" s="1" t="s">
        <v>514</v>
      </c>
      <c r="C122" s="2">
        <v>42898</v>
      </c>
      <c r="D122" s="2">
        <v>42901</v>
      </c>
      <c r="E122" s="1" t="s">
        <v>184</v>
      </c>
      <c r="F122" s="1" t="s">
        <v>515</v>
      </c>
      <c r="G122" s="1" t="s">
        <v>516</v>
      </c>
      <c r="H122" s="1" t="s">
        <v>26</v>
      </c>
      <c r="I122" s="1" t="s">
        <v>27</v>
      </c>
      <c r="J122" s="1" t="s">
        <v>517</v>
      </c>
      <c r="K122" s="1" t="s">
        <v>241</v>
      </c>
      <c r="L122">
        <v>19805</v>
      </c>
      <c r="M122" s="1" t="s">
        <v>10</v>
      </c>
      <c r="N122" s="1" t="s">
        <v>71</v>
      </c>
      <c r="O122" s="1" t="s">
        <v>43</v>
      </c>
      <c r="P122" s="1" t="s">
        <v>72</v>
      </c>
      <c r="Q122" s="1" t="s">
        <v>73</v>
      </c>
      <c r="R122">
        <v>30.84</v>
      </c>
    </row>
    <row r="123" spans="1:18" x14ac:dyDescent="0.3">
      <c r="A123">
        <v>122</v>
      </c>
      <c r="B123" s="1" t="s">
        <v>514</v>
      </c>
      <c r="C123" s="2">
        <v>42898</v>
      </c>
      <c r="D123" s="2">
        <v>42901</v>
      </c>
      <c r="E123" s="1" t="s">
        <v>184</v>
      </c>
      <c r="F123" s="1" t="s">
        <v>515</v>
      </c>
      <c r="G123" s="1" t="s">
        <v>516</v>
      </c>
      <c r="H123" s="1" t="s">
        <v>26</v>
      </c>
      <c r="I123" s="1" t="s">
        <v>27</v>
      </c>
      <c r="J123" s="1" t="s">
        <v>517</v>
      </c>
      <c r="K123" s="1" t="s">
        <v>241</v>
      </c>
      <c r="L123">
        <v>19805</v>
      </c>
      <c r="M123" s="1" t="s">
        <v>10</v>
      </c>
      <c r="N123" s="1" t="s">
        <v>520</v>
      </c>
      <c r="O123" s="1" t="s">
        <v>43</v>
      </c>
      <c r="P123" s="1" t="s">
        <v>56</v>
      </c>
      <c r="Q123" s="1" t="s">
        <v>521</v>
      </c>
      <c r="R123">
        <v>226.56</v>
      </c>
    </row>
    <row r="124" spans="1:18" x14ac:dyDescent="0.3">
      <c r="A124">
        <v>123</v>
      </c>
      <c r="B124" s="1" t="s">
        <v>514</v>
      </c>
      <c r="C124" s="2">
        <v>42898</v>
      </c>
      <c r="D124" s="2">
        <v>42901</v>
      </c>
      <c r="E124" s="1" t="s">
        <v>184</v>
      </c>
      <c r="F124" s="1" t="s">
        <v>515</v>
      </c>
      <c r="G124" s="1" t="s">
        <v>516</v>
      </c>
      <c r="H124" s="1" t="s">
        <v>26</v>
      </c>
      <c r="I124" s="1" t="s">
        <v>27</v>
      </c>
      <c r="J124" s="1" t="s">
        <v>517</v>
      </c>
      <c r="K124" s="1" t="s">
        <v>241</v>
      </c>
      <c r="L124">
        <v>19805</v>
      </c>
      <c r="M124" s="1" t="s">
        <v>10</v>
      </c>
      <c r="N124" s="1" t="s">
        <v>522</v>
      </c>
      <c r="O124" s="1" t="s">
        <v>43</v>
      </c>
      <c r="P124" s="1" t="s">
        <v>169</v>
      </c>
      <c r="Q124" s="1" t="s">
        <v>523</v>
      </c>
      <c r="R124">
        <v>115.02</v>
      </c>
    </row>
    <row r="125" spans="1:18" x14ac:dyDescent="0.3">
      <c r="A125">
        <v>124</v>
      </c>
      <c r="B125" s="1" t="s">
        <v>514</v>
      </c>
      <c r="C125" s="2">
        <v>42898</v>
      </c>
      <c r="D125" s="2">
        <v>42901</v>
      </c>
      <c r="E125" s="1" t="s">
        <v>184</v>
      </c>
      <c r="F125" s="1" t="s">
        <v>515</v>
      </c>
      <c r="G125" s="1" t="s">
        <v>516</v>
      </c>
      <c r="H125" s="1" t="s">
        <v>26</v>
      </c>
      <c r="I125" s="1" t="s">
        <v>27</v>
      </c>
      <c r="J125" s="1" t="s">
        <v>517</v>
      </c>
      <c r="K125" s="1" t="s">
        <v>241</v>
      </c>
      <c r="L125">
        <v>19805</v>
      </c>
      <c r="M125" s="1" t="s">
        <v>10</v>
      </c>
      <c r="N125" s="1" t="s">
        <v>524</v>
      </c>
      <c r="O125" s="1" t="s">
        <v>68</v>
      </c>
      <c r="P125" s="1" t="s">
        <v>69</v>
      </c>
      <c r="Q125" s="1" t="s">
        <v>525</v>
      </c>
      <c r="R125">
        <v>68.040000000000006</v>
      </c>
    </row>
    <row r="126" spans="1:18" x14ac:dyDescent="0.3">
      <c r="A126">
        <v>125</v>
      </c>
      <c r="B126" s="1" t="s">
        <v>526</v>
      </c>
      <c r="C126" s="2">
        <v>42364</v>
      </c>
      <c r="D126" s="2">
        <v>42366</v>
      </c>
      <c r="E126" s="1" t="s">
        <v>23</v>
      </c>
      <c r="F126" s="1" t="s">
        <v>527</v>
      </c>
      <c r="G126" s="1" t="s">
        <v>528</v>
      </c>
      <c r="H126" s="1" t="s">
        <v>99</v>
      </c>
      <c r="I126" s="1" t="s">
        <v>27</v>
      </c>
      <c r="J126" s="1" t="s">
        <v>180</v>
      </c>
      <c r="K126" s="1" t="s">
        <v>101</v>
      </c>
      <c r="L126">
        <v>77041</v>
      </c>
      <c r="M126" s="1" t="s">
        <v>102</v>
      </c>
      <c r="N126" s="1" t="s">
        <v>529</v>
      </c>
      <c r="O126" s="1" t="s">
        <v>5</v>
      </c>
      <c r="P126" s="1" t="s">
        <v>34</v>
      </c>
      <c r="Q126" s="1" t="s">
        <v>530</v>
      </c>
      <c r="R126">
        <v>600.55799999999999</v>
      </c>
    </row>
    <row r="127" spans="1:18" x14ac:dyDescent="0.3">
      <c r="A127">
        <v>126</v>
      </c>
      <c r="B127" s="1" t="s">
        <v>531</v>
      </c>
      <c r="C127" s="2">
        <v>42267</v>
      </c>
      <c r="D127" s="2">
        <v>42272</v>
      </c>
      <c r="E127" s="1" t="s">
        <v>47</v>
      </c>
      <c r="F127" s="1" t="s">
        <v>532</v>
      </c>
      <c r="G127" s="1" t="s">
        <v>533</v>
      </c>
      <c r="H127" s="1" t="s">
        <v>26</v>
      </c>
      <c r="I127" s="1" t="s">
        <v>27</v>
      </c>
      <c r="J127" s="1" t="s">
        <v>534</v>
      </c>
      <c r="K127" s="1" t="s">
        <v>207</v>
      </c>
      <c r="L127">
        <v>61701</v>
      </c>
      <c r="M127" s="1" t="s">
        <v>102</v>
      </c>
      <c r="N127" s="1" t="s">
        <v>535</v>
      </c>
      <c r="O127" s="1" t="s">
        <v>5</v>
      </c>
      <c r="P127" s="1" t="s">
        <v>53</v>
      </c>
      <c r="Q127" s="1" t="s">
        <v>536</v>
      </c>
      <c r="R127">
        <v>617.70000000000005</v>
      </c>
    </row>
    <row r="128" spans="1:18" x14ac:dyDescent="0.3">
      <c r="A128">
        <v>127</v>
      </c>
      <c r="B128" s="1" t="s">
        <v>537</v>
      </c>
      <c r="C128" s="2">
        <v>43409</v>
      </c>
      <c r="D128" s="2">
        <v>43416</v>
      </c>
      <c r="E128" s="1" t="s">
        <v>47</v>
      </c>
      <c r="F128" s="1" t="s">
        <v>538</v>
      </c>
      <c r="G128" s="1" t="s">
        <v>539</v>
      </c>
      <c r="H128" s="1" t="s">
        <v>26</v>
      </c>
      <c r="I128" s="1" t="s">
        <v>27</v>
      </c>
      <c r="J128" s="1" t="s">
        <v>540</v>
      </c>
      <c r="K128" s="1" t="s">
        <v>306</v>
      </c>
      <c r="L128">
        <v>85023</v>
      </c>
      <c r="M128" s="1" t="s">
        <v>9</v>
      </c>
      <c r="N128" s="1" t="s">
        <v>541</v>
      </c>
      <c r="O128" s="1" t="s">
        <v>43</v>
      </c>
      <c r="P128" s="1" t="s">
        <v>72</v>
      </c>
      <c r="Q128" s="1" t="s">
        <v>542</v>
      </c>
      <c r="R128">
        <v>2.3879999999999999</v>
      </c>
    </row>
    <row r="129" spans="1:18" x14ac:dyDescent="0.3">
      <c r="A129">
        <v>128</v>
      </c>
      <c r="B129" s="1" t="s">
        <v>537</v>
      </c>
      <c r="C129" s="2">
        <v>43409</v>
      </c>
      <c r="D129" s="2">
        <v>43416</v>
      </c>
      <c r="E129" s="1" t="s">
        <v>47</v>
      </c>
      <c r="F129" s="1" t="s">
        <v>538</v>
      </c>
      <c r="G129" s="1" t="s">
        <v>539</v>
      </c>
      <c r="H129" s="1" t="s">
        <v>26</v>
      </c>
      <c r="I129" s="1" t="s">
        <v>27</v>
      </c>
      <c r="J129" s="1" t="s">
        <v>540</v>
      </c>
      <c r="K129" s="1" t="s">
        <v>306</v>
      </c>
      <c r="L129">
        <v>85023</v>
      </c>
      <c r="M129" s="1" t="s">
        <v>9</v>
      </c>
      <c r="N129" s="1" t="s">
        <v>543</v>
      </c>
      <c r="O129" s="1" t="s">
        <v>43</v>
      </c>
      <c r="P129" s="1" t="s">
        <v>56</v>
      </c>
      <c r="Q129" s="1" t="s">
        <v>544</v>
      </c>
      <c r="R129">
        <v>243.99199999999999</v>
      </c>
    </row>
    <row r="130" spans="1:18" x14ac:dyDescent="0.3">
      <c r="A130">
        <v>129</v>
      </c>
      <c r="B130" s="1" t="s">
        <v>545</v>
      </c>
      <c r="C130" s="2">
        <v>43045</v>
      </c>
      <c r="D130" s="2">
        <v>43049</v>
      </c>
      <c r="E130" s="1" t="s">
        <v>23</v>
      </c>
      <c r="F130" s="1" t="s">
        <v>546</v>
      </c>
      <c r="G130" s="1" t="s">
        <v>547</v>
      </c>
      <c r="H130" s="1" t="s">
        <v>99</v>
      </c>
      <c r="I130" s="1" t="s">
        <v>27</v>
      </c>
      <c r="J130" s="1" t="s">
        <v>40</v>
      </c>
      <c r="K130" s="1" t="s">
        <v>41</v>
      </c>
      <c r="L130">
        <v>90004</v>
      </c>
      <c r="M130" s="1" t="s">
        <v>9</v>
      </c>
      <c r="N130" s="1" t="s">
        <v>300</v>
      </c>
      <c r="O130" s="1" t="s">
        <v>5</v>
      </c>
      <c r="P130" s="1" t="s">
        <v>34</v>
      </c>
      <c r="Q130" s="1" t="s">
        <v>548</v>
      </c>
      <c r="R130">
        <v>81.424000000000007</v>
      </c>
    </row>
    <row r="131" spans="1:18" x14ac:dyDescent="0.3">
      <c r="A131">
        <v>130</v>
      </c>
      <c r="B131" s="1" t="s">
        <v>545</v>
      </c>
      <c r="C131" s="2">
        <v>43045</v>
      </c>
      <c r="D131" s="2">
        <v>43049</v>
      </c>
      <c r="E131" s="1" t="s">
        <v>23</v>
      </c>
      <c r="F131" s="1" t="s">
        <v>546</v>
      </c>
      <c r="G131" s="1" t="s">
        <v>547</v>
      </c>
      <c r="H131" s="1" t="s">
        <v>99</v>
      </c>
      <c r="I131" s="1" t="s">
        <v>27</v>
      </c>
      <c r="J131" s="1" t="s">
        <v>40</v>
      </c>
      <c r="K131" s="1" t="s">
        <v>41</v>
      </c>
      <c r="L131">
        <v>90004</v>
      </c>
      <c r="M131" s="1" t="s">
        <v>9</v>
      </c>
      <c r="N131" s="1" t="s">
        <v>549</v>
      </c>
      <c r="O131" s="1" t="s">
        <v>5</v>
      </c>
      <c r="P131" s="1" t="s">
        <v>62</v>
      </c>
      <c r="Q131" s="1" t="s">
        <v>550</v>
      </c>
      <c r="R131">
        <v>238.56</v>
      </c>
    </row>
    <row r="132" spans="1:18" x14ac:dyDescent="0.3">
      <c r="A132">
        <v>131</v>
      </c>
      <c r="B132" s="1" t="s">
        <v>551</v>
      </c>
      <c r="C132" s="2">
        <v>43133</v>
      </c>
      <c r="D132" s="2">
        <v>43136</v>
      </c>
      <c r="E132" s="1" t="s">
        <v>184</v>
      </c>
      <c r="F132" s="1" t="s">
        <v>552</v>
      </c>
      <c r="G132" s="1" t="s">
        <v>553</v>
      </c>
      <c r="H132" s="1" t="s">
        <v>39</v>
      </c>
      <c r="I132" s="1" t="s">
        <v>27</v>
      </c>
      <c r="J132" s="1" t="s">
        <v>493</v>
      </c>
      <c r="K132" s="1" t="s">
        <v>494</v>
      </c>
      <c r="L132">
        <v>43229</v>
      </c>
      <c r="M132" s="1" t="s">
        <v>10</v>
      </c>
      <c r="N132" s="1" t="s">
        <v>554</v>
      </c>
      <c r="O132" s="1" t="s">
        <v>68</v>
      </c>
      <c r="P132" s="1" t="s">
        <v>69</v>
      </c>
      <c r="Q132" s="1" t="s">
        <v>555</v>
      </c>
      <c r="R132">
        <v>59.97</v>
      </c>
    </row>
    <row r="133" spans="1:18" x14ac:dyDescent="0.3">
      <c r="A133">
        <v>132</v>
      </c>
      <c r="B133" s="1" t="s">
        <v>551</v>
      </c>
      <c r="C133" s="2">
        <v>43133</v>
      </c>
      <c r="D133" s="2">
        <v>43136</v>
      </c>
      <c r="E133" s="1" t="s">
        <v>184</v>
      </c>
      <c r="F133" s="1" t="s">
        <v>552</v>
      </c>
      <c r="G133" s="1" t="s">
        <v>553</v>
      </c>
      <c r="H133" s="1" t="s">
        <v>39</v>
      </c>
      <c r="I133" s="1" t="s">
        <v>27</v>
      </c>
      <c r="J133" s="1" t="s">
        <v>493</v>
      </c>
      <c r="K133" s="1" t="s">
        <v>494</v>
      </c>
      <c r="L133">
        <v>43229</v>
      </c>
      <c r="M133" s="1" t="s">
        <v>10</v>
      </c>
      <c r="N133" s="1" t="s">
        <v>556</v>
      </c>
      <c r="O133" s="1" t="s">
        <v>43</v>
      </c>
      <c r="P133" s="1" t="s">
        <v>87</v>
      </c>
      <c r="Q133" s="1" t="s">
        <v>557</v>
      </c>
      <c r="R133">
        <v>78.304000000000002</v>
      </c>
    </row>
    <row r="134" spans="1:18" x14ac:dyDescent="0.3">
      <c r="A134">
        <v>133</v>
      </c>
      <c r="B134" s="1" t="s">
        <v>551</v>
      </c>
      <c r="C134" s="2">
        <v>43133</v>
      </c>
      <c r="D134" s="2">
        <v>43136</v>
      </c>
      <c r="E134" s="1" t="s">
        <v>184</v>
      </c>
      <c r="F134" s="1" t="s">
        <v>552</v>
      </c>
      <c r="G134" s="1" t="s">
        <v>553</v>
      </c>
      <c r="H134" s="1" t="s">
        <v>39</v>
      </c>
      <c r="I134" s="1" t="s">
        <v>27</v>
      </c>
      <c r="J134" s="1" t="s">
        <v>493</v>
      </c>
      <c r="K134" s="1" t="s">
        <v>494</v>
      </c>
      <c r="L134">
        <v>43229</v>
      </c>
      <c r="M134" s="1" t="s">
        <v>10</v>
      </c>
      <c r="N134" s="1" t="s">
        <v>558</v>
      </c>
      <c r="O134" s="1" t="s">
        <v>43</v>
      </c>
      <c r="P134" s="1" t="s">
        <v>265</v>
      </c>
      <c r="Q134" s="1" t="s">
        <v>559</v>
      </c>
      <c r="R134">
        <v>21.456</v>
      </c>
    </row>
    <row r="135" spans="1:18" x14ac:dyDescent="0.3">
      <c r="A135">
        <v>134</v>
      </c>
      <c r="B135" s="1" t="s">
        <v>560</v>
      </c>
      <c r="C135" s="2">
        <v>43021</v>
      </c>
      <c r="D135" s="2">
        <v>43027</v>
      </c>
      <c r="E135" s="1" t="s">
        <v>47</v>
      </c>
      <c r="F135" s="1" t="s">
        <v>561</v>
      </c>
      <c r="G135" s="1" t="s">
        <v>562</v>
      </c>
      <c r="H135" s="1" t="s">
        <v>26</v>
      </c>
      <c r="I135" s="1" t="s">
        <v>27</v>
      </c>
      <c r="J135" s="1" t="s">
        <v>563</v>
      </c>
      <c r="K135" s="1" t="s">
        <v>41</v>
      </c>
      <c r="L135">
        <v>95661</v>
      </c>
      <c r="M135" s="1" t="s">
        <v>9</v>
      </c>
      <c r="N135" s="1" t="s">
        <v>564</v>
      </c>
      <c r="O135" s="1" t="s">
        <v>43</v>
      </c>
      <c r="P135" s="1" t="s">
        <v>87</v>
      </c>
      <c r="Q135" s="1" t="s">
        <v>565</v>
      </c>
      <c r="R135">
        <v>20.04</v>
      </c>
    </row>
    <row r="136" spans="1:18" x14ac:dyDescent="0.3">
      <c r="A136">
        <v>135</v>
      </c>
      <c r="B136" s="1" t="s">
        <v>560</v>
      </c>
      <c r="C136" s="2">
        <v>43021</v>
      </c>
      <c r="D136" s="2">
        <v>43027</v>
      </c>
      <c r="E136" s="1" t="s">
        <v>47</v>
      </c>
      <c r="F136" s="1" t="s">
        <v>561</v>
      </c>
      <c r="G136" s="1" t="s">
        <v>562</v>
      </c>
      <c r="H136" s="1" t="s">
        <v>26</v>
      </c>
      <c r="I136" s="1" t="s">
        <v>27</v>
      </c>
      <c r="J136" s="1" t="s">
        <v>563</v>
      </c>
      <c r="K136" s="1" t="s">
        <v>41</v>
      </c>
      <c r="L136">
        <v>95661</v>
      </c>
      <c r="M136" s="1" t="s">
        <v>9</v>
      </c>
      <c r="N136" s="1" t="s">
        <v>566</v>
      </c>
      <c r="O136" s="1" t="s">
        <v>43</v>
      </c>
      <c r="P136" s="1" t="s">
        <v>87</v>
      </c>
      <c r="Q136" s="1" t="s">
        <v>567</v>
      </c>
      <c r="R136">
        <v>35.44</v>
      </c>
    </row>
    <row r="137" spans="1:18" x14ac:dyDescent="0.3">
      <c r="A137">
        <v>136</v>
      </c>
      <c r="B137" s="1" t="s">
        <v>560</v>
      </c>
      <c r="C137" s="2">
        <v>43021</v>
      </c>
      <c r="D137" s="2">
        <v>43027</v>
      </c>
      <c r="E137" s="1" t="s">
        <v>47</v>
      </c>
      <c r="F137" s="1" t="s">
        <v>561</v>
      </c>
      <c r="G137" s="1" t="s">
        <v>562</v>
      </c>
      <c r="H137" s="1" t="s">
        <v>26</v>
      </c>
      <c r="I137" s="1" t="s">
        <v>27</v>
      </c>
      <c r="J137" s="1" t="s">
        <v>563</v>
      </c>
      <c r="K137" s="1" t="s">
        <v>41</v>
      </c>
      <c r="L137">
        <v>95661</v>
      </c>
      <c r="M137" s="1" t="s">
        <v>9</v>
      </c>
      <c r="N137" s="1" t="s">
        <v>568</v>
      </c>
      <c r="O137" s="1" t="s">
        <v>43</v>
      </c>
      <c r="P137" s="1" t="s">
        <v>65</v>
      </c>
      <c r="Q137" s="1" t="s">
        <v>569</v>
      </c>
      <c r="R137">
        <v>11.52</v>
      </c>
    </row>
    <row r="138" spans="1:18" x14ac:dyDescent="0.3">
      <c r="A138">
        <v>137</v>
      </c>
      <c r="B138" s="1" t="s">
        <v>560</v>
      </c>
      <c r="C138" s="2">
        <v>43021</v>
      </c>
      <c r="D138" s="2">
        <v>43027</v>
      </c>
      <c r="E138" s="1" t="s">
        <v>47</v>
      </c>
      <c r="F138" s="1" t="s">
        <v>561</v>
      </c>
      <c r="G138" s="1" t="s">
        <v>562</v>
      </c>
      <c r="H138" s="1" t="s">
        <v>26</v>
      </c>
      <c r="I138" s="1" t="s">
        <v>27</v>
      </c>
      <c r="J138" s="1" t="s">
        <v>563</v>
      </c>
      <c r="K138" s="1" t="s">
        <v>41</v>
      </c>
      <c r="L138">
        <v>95661</v>
      </c>
      <c r="M138" s="1" t="s">
        <v>9</v>
      </c>
      <c r="N138" s="1" t="s">
        <v>570</v>
      </c>
      <c r="O138" s="1" t="s">
        <v>43</v>
      </c>
      <c r="P138" s="1" t="s">
        <v>265</v>
      </c>
      <c r="Q138" s="1" t="s">
        <v>571</v>
      </c>
      <c r="R138">
        <v>4.0199999999999996</v>
      </c>
    </row>
    <row r="139" spans="1:18" x14ac:dyDescent="0.3">
      <c r="A139">
        <v>138</v>
      </c>
      <c r="B139" s="1" t="s">
        <v>560</v>
      </c>
      <c r="C139" s="2">
        <v>43021</v>
      </c>
      <c r="D139" s="2">
        <v>43027</v>
      </c>
      <c r="E139" s="1" t="s">
        <v>47</v>
      </c>
      <c r="F139" s="1" t="s">
        <v>561</v>
      </c>
      <c r="G139" s="1" t="s">
        <v>562</v>
      </c>
      <c r="H139" s="1" t="s">
        <v>26</v>
      </c>
      <c r="I139" s="1" t="s">
        <v>27</v>
      </c>
      <c r="J139" s="1" t="s">
        <v>563</v>
      </c>
      <c r="K139" s="1" t="s">
        <v>41</v>
      </c>
      <c r="L139">
        <v>95661</v>
      </c>
      <c r="M139" s="1" t="s">
        <v>9</v>
      </c>
      <c r="N139" s="1" t="s">
        <v>572</v>
      </c>
      <c r="O139" s="1" t="s">
        <v>43</v>
      </c>
      <c r="P139" s="1" t="s">
        <v>72</v>
      </c>
      <c r="Q139" s="1" t="s">
        <v>573</v>
      </c>
      <c r="R139">
        <v>76.176000000000002</v>
      </c>
    </row>
    <row r="140" spans="1:18" x14ac:dyDescent="0.3">
      <c r="A140">
        <v>139</v>
      </c>
      <c r="B140" s="1" t="s">
        <v>560</v>
      </c>
      <c r="C140" s="2">
        <v>43021</v>
      </c>
      <c r="D140" s="2">
        <v>43027</v>
      </c>
      <c r="E140" s="1" t="s">
        <v>47</v>
      </c>
      <c r="F140" s="1" t="s">
        <v>561</v>
      </c>
      <c r="G140" s="1" t="s">
        <v>562</v>
      </c>
      <c r="H140" s="1" t="s">
        <v>26</v>
      </c>
      <c r="I140" s="1" t="s">
        <v>27</v>
      </c>
      <c r="J140" s="1" t="s">
        <v>563</v>
      </c>
      <c r="K140" s="1" t="s">
        <v>41</v>
      </c>
      <c r="L140">
        <v>95661</v>
      </c>
      <c r="M140" s="1" t="s">
        <v>9</v>
      </c>
      <c r="N140" s="1" t="s">
        <v>574</v>
      </c>
      <c r="O140" s="1" t="s">
        <v>43</v>
      </c>
      <c r="P140" s="1" t="s">
        <v>575</v>
      </c>
      <c r="Q140" s="1" t="s">
        <v>576</v>
      </c>
      <c r="R140">
        <v>65.88</v>
      </c>
    </row>
    <row r="141" spans="1:18" x14ac:dyDescent="0.3">
      <c r="A141">
        <v>140</v>
      </c>
      <c r="B141" s="1" t="s">
        <v>560</v>
      </c>
      <c r="C141" s="2">
        <v>43021</v>
      </c>
      <c r="D141" s="2">
        <v>43027</v>
      </c>
      <c r="E141" s="1" t="s">
        <v>47</v>
      </c>
      <c r="F141" s="1" t="s">
        <v>561</v>
      </c>
      <c r="G141" s="1" t="s">
        <v>562</v>
      </c>
      <c r="H141" s="1" t="s">
        <v>26</v>
      </c>
      <c r="I141" s="1" t="s">
        <v>27</v>
      </c>
      <c r="J141" s="1" t="s">
        <v>563</v>
      </c>
      <c r="K141" s="1" t="s">
        <v>41</v>
      </c>
      <c r="L141">
        <v>95661</v>
      </c>
      <c r="M141" s="1" t="s">
        <v>9</v>
      </c>
      <c r="N141" s="1" t="s">
        <v>255</v>
      </c>
      <c r="O141" s="1" t="s">
        <v>5</v>
      </c>
      <c r="P141" s="1" t="s">
        <v>62</v>
      </c>
      <c r="Q141" s="1" t="s">
        <v>256</v>
      </c>
      <c r="R141">
        <v>43.12</v>
      </c>
    </row>
    <row r="142" spans="1:18" x14ac:dyDescent="0.3">
      <c r="A142">
        <v>141</v>
      </c>
      <c r="B142" s="1" t="s">
        <v>577</v>
      </c>
      <c r="C142" s="2">
        <v>42983</v>
      </c>
      <c r="D142" s="2">
        <v>42985</v>
      </c>
      <c r="E142" s="1" t="s">
        <v>23</v>
      </c>
      <c r="F142" s="1" t="s">
        <v>578</v>
      </c>
      <c r="G142" s="1" t="s">
        <v>579</v>
      </c>
      <c r="H142" s="1" t="s">
        <v>39</v>
      </c>
      <c r="I142" s="1" t="s">
        <v>27</v>
      </c>
      <c r="J142" s="1" t="s">
        <v>143</v>
      </c>
      <c r="K142" s="1" t="s">
        <v>144</v>
      </c>
      <c r="L142">
        <v>19140</v>
      </c>
      <c r="M142" s="1" t="s">
        <v>10</v>
      </c>
      <c r="N142" s="1" t="s">
        <v>166</v>
      </c>
      <c r="O142" s="1" t="s">
        <v>5</v>
      </c>
      <c r="P142" s="1" t="s">
        <v>62</v>
      </c>
      <c r="Q142" s="1" t="s">
        <v>167</v>
      </c>
      <c r="R142">
        <v>82.8</v>
      </c>
    </row>
    <row r="143" spans="1:18" x14ac:dyDescent="0.3">
      <c r="A143">
        <v>142</v>
      </c>
      <c r="B143" s="1" t="s">
        <v>580</v>
      </c>
      <c r="C143" s="2">
        <v>43361</v>
      </c>
      <c r="D143" s="2">
        <v>43366</v>
      </c>
      <c r="E143" s="1" t="s">
        <v>47</v>
      </c>
      <c r="F143" s="1" t="s">
        <v>581</v>
      </c>
      <c r="G143" s="1" t="s">
        <v>582</v>
      </c>
      <c r="H143" s="1" t="s">
        <v>39</v>
      </c>
      <c r="I143" s="1" t="s">
        <v>27</v>
      </c>
      <c r="J143" s="1" t="s">
        <v>124</v>
      </c>
      <c r="K143" s="1" t="s">
        <v>41</v>
      </c>
      <c r="L143">
        <v>94122</v>
      </c>
      <c r="M143" s="1" t="s">
        <v>9</v>
      </c>
      <c r="N143" s="1" t="s">
        <v>583</v>
      </c>
      <c r="O143" s="1" t="s">
        <v>43</v>
      </c>
      <c r="P143" s="1" t="s">
        <v>65</v>
      </c>
      <c r="Q143" s="1" t="s">
        <v>584</v>
      </c>
      <c r="R143">
        <v>8.82</v>
      </c>
    </row>
    <row r="144" spans="1:18" x14ac:dyDescent="0.3">
      <c r="A144">
        <v>143</v>
      </c>
      <c r="B144" s="1" t="s">
        <v>580</v>
      </c>
      <c r="C144" s="2">
        <v>43361</v>
      </c>
      <c r="D144" s="2">
        <v>43366</v>
      </c>
      <c r="E144" s="1" t="s">
        <v>47</v>
      </c>
      <c r="F144" s="1" t="s">
        <v>581</v>
      </c>
      <c r="G144" s="1" t="s">
        <v>582</v>
      </c>
      <c r="H144" s="1" t="s">
        <v>39</v>
      </c>
      <c r="I144" s="1" t="s">
        <v>27</v>
      </c>
      <c r="J144" s="1" t="s">
        <v>124</v>
      </c>
      <c r="K144" s="1" t="s">
        <v>41</v>
      </c>
      <c r="L144">
        <v>94122</v>
      </c>
      <c r="M144" s="1" t="s">
        <v>9</v>
      </c>
      <c r="N144" s="1" t="s">
        <v>585</v>
      </c>
      <c r="O144" s="1" t="s">
        <v>43</v>
      </c>
      <c r="P144" s="1" t="s">
        <v>169</v>
      </c>
      <c r="Q144" s="1" t="s">
        <v>586</v>
      </c>
      <c r="R144">
        <v>10.86</v>
      </c>
    </row>
    <row r="145" spans="1:18" x14ac:dyDescent="0.3">
      <c r="A145">
        <v>144</v>
      </c>
      <c r="B145" s="1" t="s">
        <v>580</v>
      </c>
      <c r="C145" s="2">
        <v>43361</v>
      </c>
      <c r="D145" s="2">
        <v>43366</v>
      </c>
      <c r="E145" s="1" t="s">
        <v>47</v>
      </c>
      <c r="F145" s="1" t="s">
        <v>581</v>
      </c>
      <c r="G145" s="1" t="s">
        <v>582</v>
      </c>
      <c r="H145" s="1" t="s">
        <v>39</v>
      </c>
      <c r="I145" s="1" t="s">
        <v>27</v>
      </c>
      <c r="J145" s="1" t="s">
        <v>124</v>
      </c>
      <c r="K145" s="1" t="s">
        <v>41</v>
      </c>
      <c r="L145">
        <v>94122</v>
      </c>
      <c r="M145" s="1" t="s">
        <v>9</v>
      </c>
      <c r="N145" s="1" t="s">
        <v>587</v>
      </c>
      <c r="O145" s="1" t="s">
        <v>43</v>
      </c>
      <c r="P145" s="1" t="s">
        <v>87</v>
      </c>
      <c r="Q145" s="1" t="s">
        <v>588</v>
      </c>
      <c r="R145">
        <v>143.69999999999999</v>
      </c>
    </row>
    <row r="146" spans="1:18" x14ac:dyDescent="0.3">
      <c r="A146">
        <v>145</v>
      </c>
      <c r="B146" s="1" t="s">
        <v>589</v>
      </c>
      <c r="C146" s="2">
        <v>43456</v>
      </c>
      <c r="D146" s="2">
        <v>43461</v>
      </c>
      <c r="E146" s="1" t="s">
        <v>47</v>
      </c>
      <c r="F146" s="1" t="s">
        <v>590</v>
      </c>
      <c r="G146" s="1" t="s">
        <v>591</v>
      </c>
      <c r="H146" s="1" t="s">
        <v>26</v>
      </c>
      <c r="I146" s="1" t="s">
        <v>27</v>
      </c>
      <c r="J146" s="1" t="s">
        <v>592</v>
      </c>
      <c r="K146" s="1" t="s">
        <v>593</v>
      </c>
      <c r="L146">
        <v>64055</v>
      </c>
      <c r="M146" s="1" t="s">
        <v>102</v>
      </c>
      <c r="N146" s="1" t="s">
        <v>594</v>
      </c>
      <c r="O146" s="1" t="s">
        <v>43</v>
      </c>
      <c r="P146" s="1" t="s">
        <v>75</v>
      </c>
      <c r="Q146" s="1" t="s">
        <v>595</v>
      </c>
      <c r="R146">
        <v>839.43</v>
      </c>
    </row>
    <row r="147" spans="1:18" x14ac:dyDescent="0.3">
      <c r="A147">
        <v>146</v>
      </c>
      <c r="B147" s="1" t="s">
        <v>596</v>
      </c>
      <c r="C147" s="2">
        <v>42620</v>
      </c>
      <c r="D147" s="2">
        <v>42625</v>
      </c>
      <c r="E147" s="1" t="s">
        <v>47</v>
      </c>
      <c r="F147" s="1" t="s">
        <v>597</v>
      </c>
      <c r="G147" s="1" t="s">
        <v>598</v>
      </c>
      <c r="H147" s="1" t="s">
        <v>26</v>
      </c>
      <c r="I147" s="1" t="s">
        <v>27</v>
      </c>
      <c r="J147" s="1" t="s">
        <v>599</v>
      </c>
      <c r="K147" s="1" t="s">
        <v>41</v>
      </c>
      <c r="L147">
        <v>91104</v>
      </c>
      <c r="M147" s="1" t="s">
        <v>9</v>
      </c>
      <c r="N147" s="1" t="s">
        <v>375</v>
      </c>
      <c r="O147" s="1" t="s">
        <v>43</v>
      </c>
      <c r="P147" s="1" t="s">
        <v>56</v>
      </c>
      <c r="Q147" s="1" t="s">
        <v>376</v>
      </c>
      <c r="R147">
        <v>671.93</v>
      </c>
    </row>
    <row r="148" spans="1:18" x14ac:dyDescent="0.3">
      <c r="A148">
        <v>147</v>
      </c>
      <c r="B148" s="1" t="s">
        <v>600</v>
      </c>
      <c r="C148" s="2">
        <v>42299</v>
      </c>
      <c r="D148" s="2">
        <v>42305</v>
      </c>
      <c r="E148" s="1" t="s">
        <v>47</v>
      </c>
      <c r="F148" s="1" t="s">
        <v>601</v>
      </c>
      <c r="G148" s="1" t="s">
        <v>602</v>
      </c>
      <c r="H148" s="1" t="s">
        <v>99</v>
      </c>
      <c r="I148" s="1" t="s">
        <v>27</v>
      </c>
      <c r="J148" s="1" t="s">
        <v>603</v>
      </c>
      <c r="K148" s="1" t="s">
        <v>494</v>
      </c>
      <c r="L148">
        <v>43055</v>
      </c>
      <c r="M148" s="1" t="s">
        <v>10</v>
      </c>
      <c r="N148" s="1" t="s">
        <v>604</v>
      </c>
      <c r="O148" s="1" t="s">
        <v>5</v>
      </c>
      <c r="P148" s="1" t="s">
        <v>62</v>
      </c>
      <c r="Q148" s="1" t="s">
        <v>605</v>
      </c>
      <c r="R148">
        <v>93.888000000000005</v>
      </c>
    </row>
    <row r="149" spans="1:18" x14ac:dyDescent="0.3">
      <c r="A149">
        <v>148</v>
      </c>
      <c r="B149" s="1" t="s">
        <v>606</v>
      </c>
      <c r="C149" s="2">
        <v>43074</v>
      </c>
      <c r="D149" s="2">
        <v>43078</v>
      </c>
      <c r="E149" s="1" t="s">
        <v>47</v>
      </c>
      <c r="F149" s="1" t="s">
        <v>607</v>
      </c>
      <c r="G149" s="1" t="s">
        <v>608</v>
      </c>
      <c r="H149" s="1" t="s">
        <v>39</v>
      </c>
      <c r="I149" s="1" t="s">
        <v>27</v>
      </c>
      <c r="J149" s="1" t="s">
        <v>609</v>
      </c>
      <c r="K149" s="1" t="s">
        <v>111</v>
      </c>
      <c r="L149">
        <v>53132</v>
      </c>
      <c r="M149" s="1" t="s">
        <v>102</v>
      </c>
      <c r="N149" s="1" t="s">
        <v>610</v>
      </c>
      <c r="O149" s="1" t="s">
        <v>68</v>
      </c>
      <c r="P149" s="1" t="s">
        <v>69</v>
      </c>
      <c r="Q149" s="1" t="s">
        <v>611</v>
      </c>
      <c r="R149">
        <v>384.45</v>
      </c>
    </row>
    <row r="150" spans="1:18" x14ac:dyDescent="0.3">
      <c r="A150">
        <v>149</v>
      </c>
      <c r="B150" s="1" t="s">
        <v>606</v>
      </c>
      <c r="C150" s="2">
        <v>43074</v>
      </c>
      <c r="D150" s="2">
        <v>43078</v>
      </c>
      <c r="E150" s="1" t="s">
        <v>47</v>
      </c>
      <c r="F150" s="1" t="s">
        <v>607</v>
      </c>
      <c r="G150" s="1" t="s">
        <v>608</v>
      </c>
      <c r="H150" s="1" t="s">
        <v>39</v>
      </c>
      <c r="I150" s="1" t="s">
        <v>27</v>
      </c>
      <c r="J150" s="1" t="s">
        <v>609</v>
      </c>
      <c r="K150" s="1" t="s">
        <v>111</v>
      </c>
      <c r="L150">
        <v>53132</v>
      </c>
      <c r="M150" s="1" t="s">
        <v>102</v>
      </c>
      <c r="N150" s="1" t="s">
        <v>612</v>
      </c>
      <c r="O150" s="1" t="s">
        <v>68</v>
      </c>
      <c r="P150" s="1" t="s">
        <v>69</v>
      </c>
      <c r="Q150" s="1" t="s">
        <v>613</v>
      </c>
      <c r="R150">
        <v>149.97</v>
      </c>
    </row>
    <row r="151" spans="1:18" x14ac:dyDescent="0.3">
      <c r="A151">
        <v>150</v>
      </c>
      <c r="B151" s="1" t="s">
        <v>606</v>
      </c>
      <c r="C151" s="2">
        <v>43074</v>
      </c>
      <c r="D151" s="2">
        <v>43078</v>
      </c>
      <c r="E151" s="1" t="s">
        <v>47</v>
      </c>
      <c r="F151" s="1" t="s">
        <v>607</v>
      </c>
      <c r="G151" s="1" t="s">
        <v>608</v>
      </c>
      <c r="H151" s="1" t="s">
        <v>39</v>
      </c>
      <c r="I151" s="1" t="s">
        <v>27</v>
      </c>
      <c r="J151" s="1" t="s">
        <v>609</v>
      </c>
      <c r="K151" s="1" t="s">
        <v>111</v>
      </c>
      <c r="L151">
        <v>53132</v>
      </c>
      <c r="M151" s="1" t="s">
        <v>102</v>
      </c>
      <c r="N151" s="1" t="s">
        <v>33</v>
      </c>
      <c r="O151" s="1" t="s">
        <v>5</v>
      </c>
      <c r="P151" s="1" t="s">
        <v>34</v>
      </c>
      <c r="Q151" s="1" t="s">
        <v>35</v>
      </c>
      <c r="R151">
        <v>1951.84</v>
      </c>
    </row>
    <row r="152" spans="1:18" x14ac:dyDescent="0.3">
      <c r="A152">
        <v>151</v>
      </c>
      <c r="B152" s="1" t="s">
        <v>606</v>
      </c>
      <c r="C152" s="2">
        <v>43074</v>
      </c>
      <c r="D152" s="2">
        <v>43078</v>
      </c>
      <c r="E152" s="1" t="s">
        <v>47</v>
      </c>
      <c r="F152" s="1" t="s">
        <v>607</v>
      </c>
      <c r="G152" s="1" t="s">
        <v>608</v>
      </c>
      <c r="H152" s="1" t="s">
        <v>39</v>
      </c>
      <c r="I152" s="1" t="s">
        <v>27</v>
      </c>
      <c r="J152" s="1" t="s">
        <v>609</v>
      </c>
      <c r="K152" s="1" t="s">
        <v>111</v>
      </c>
      <c r="L152">
        <v>53132</v>
      </c>
      <c r="M152" s="1" t="s">
        <v>102</v>
      </c>
      <c r="N152" s="1" t="s">
        <v>614</v>
      </c>
      <c r="O152" s="1" t="s">
        <v>43</v>
      </c>
      <c r="P152" s="1" t="s">
        <v>72</v>
      </c>
      <c r="Q152" s="1" t="s">
        <v>615</v>
      </c>
      <c r="R152">
        <v>171.55</v>
      </c>
    </row>
    <row r="153" spans="1:18" x14ac:dyDescent="0.3">
      <c r="A153">
        <v>152</v>
      </c>
      <c r="B153" s="1" t="s">
        <v>616</v>
      </c>
      <c r="C153" s="2">
        <v>42807</v>
      </c>
      <c r="D153" s="2">
        <v>42810</v>
      </c>
      <c r="E153" s="1" t="s">
        <v>184</v>
      </c>
      <c r="F153" s="1" t="s">
        <v>617</v>
      </c>
      <c r="G153" s="1" t="s">
        <v>618</v>
      </c>
      <c r="H153" s="1" t="s">
        <v>99</v>
      </c>
      <c r="I153" s="1" t="s">
        <v>27</v>
      </c>
      <c r="J153" s="1" t="s">
        <v>619</v>
      </c>
      <c r="K153" s="1" t="s">
        <v>306</v>
      </c>
      <c r="L153">
        <v>85254</v>
      </c>
      <c r="M153" s="1" t="s">
        <v>9</v>
      </c>
      <c r="N153" s="1" t="s">
        <v>620</v>
      </c>
      <c r="O153" s="1" t="s">
        <v>43</v>
      </c>
      <c r="P153" s="1" t="s">
        <v>75</v>
      </c>
      <c r="Q153" s="1" t="s">
        <v>621</v>
      </c>
      <c r="R153">
        <v>157.91999999999999</v>
      </c>
    </row>
    <row r="154" spans="1:18" x14ac:dyDescent="0.3">
      <c r="A154">
        <v>153</v>
      </c>
      <c r="B154" s="1" t="s">
        <v>616</v>
      </c>
      <c r="C154" s="2">
        <v>42807</v>
      </c>
      <c r="D154" s="2">
        <v>42810</v>
      </c>
      <c r="E154" s="1" t="s">
        <v>184</v>
      </c>
      <c r="F154" s="1" t="s">
        <v>617</v>
      </c>
      <c r="G154" s="1" t="s">
        <v>618</v>
      </c>
      <c r="H154" s="1" t="s">
        <v>99</v>
      </c>
      <c r="I154" s="1" t="s">
        <v>27</v>
      </c>
      <c r="J154" s="1" t="s">
        <v>619</v>
      </c>
      <c r="K154" s="1" t="s">
        <v>306</v>
      </c>
      <c r="L154">
        <v>85254</v>
      </c>
      <c r="M154" s="1" t="s">
        <v>9</v>
      </c>
      <c r="N154" s="1" t="s">
        <v>622</v>
      </c>
      <c r="O154" s="1" t="s">
        <v>68</v>
      </c>
      <c r="P154" s="1" t="s">
        <v>69</v>
      </c>
      <c r="Q154" s="1" t="s">
        <v>623</v>
      </c>
      <c r="R154">
        <v>203.184</v>
      </c>
    </row>
    <row r="155" spans="1:18" x14ac:dyDescent="0.3">
      <c r="A155">
        <v>154</v>
      </c>
      <c r="B155" s="1" t="s">
        <v>624</v>
      </c>
      <c r="C155" s="2">
        <v>42521</v>
      </c>
      <c r="D155" s="2">
        <v>42523</v>
      </c>
      <c r="E155" s="1" t="s">
        <v>184</v>
      </c>
      <c r="F155" s="1" t="s">
        <v>625</v>
      </c>
      <c r="G155" s="1" t="s">
        <v>626</v>
      </c>
      <c r="H155" s="1" t="s">
        <v>39</v>
      </c>
      <c r="I155" s="1" t="s">
        <v>27</v>
      </c>
      <c r="J155" s="1" t="s">
        <v>627</v>
      </c>
      <c r="K155" s="1" t="s">
        <v>41</v>
      </c>
      <c r="L155">
        <v>95123</v>
      </c>
      <c r="M155" s="1" t="s">
        <v>9</v>
      </c>
      <c r="N155" s="1" t="s">
        <v>628</v>
      </c>
      <c r="O155" s="1" t="s">
        <v>43</v>
      </c>
      <c r="P155" s="1" t="s">
        <v>87</v>
      </c>
      <c r="Q155" s="1" t="s">
        <v>629</v>
      </c>
      <c r="R155">
        <v>58.38</v>
      </c>
    </row>
    <row r="156" spans="1:18" x14ac:dyDescent="0.3">
      <c r="A156">
        <v>155</v>
      </c>
      <c r="B156" s="1" t="s">
        <v>624</v>
      </c>
      <c r="C156" s="2">
        <v>42521</v>
      </c>
      <c r="D156" s="2">
        <v>42523</v>
      </c>
      <c r="E156" s="1" t="s">
        <v>184</v>
      </c>
      <c r="F156" s="1" t="s">
        <v>625</v>
      </c>
      <c r="G156" s="1" t="s">
        <v>626</v>
      </c>
      <c r="H156" s="1" t="s">
        <v>39</v>
      </c>
      <c r="I156" s="1" t="s">
        <v>27</v>
      </c>
      <c r="J156" s="1" t="s">
        <v>627</v>
      </c>
      <c r="K156" s="1" t="s">
        <v>41</v>
      </c>
      <c r="L156">
        <v>95123</v>
      </c>
      <c r="M156" s="1" t="s">
        <v>9</v>
      </c>
      <c r="N156" s="1" t="s">
        <v>630</v>
      </c>
      <c r="O156" s="1" t="s">
        <v>43</v>
      </c>
      <c r="P156" s="1" t="s">
        <v>87</v>
      </c>
      <c r="Q156" s="1" t="s">
        <v>631</v>
      </c>
      <c r="R156">
        <v>105.52</v>
      </c>
    </row>
    <row r="157" spans="1:18" x14ac:dyDescent="0.3">
      <c r="A157">
        <v>156</v>
      </c>
      <c r="B157" s="1" t="s">
        <v>624</v>
      </c>
      <c r="C157" s="2">
        <v>42521</v>
      </c>
      <c r="D157" s="2">
        <v>42523</v>
      </c>
      <c r="E157" s="1" t="s">
        <v>184</v>
      </c>
      <c r="F157" s="1" t="s">
        <v>625</v>
      </c>
      <c r="G157" s="1" t="s">
        <v>626</v>
      </c>
      <c r="H157" s="1" t="s">
        <v>39</v>
      </c>
      <c r="I157" s="1" t="s">
        <v>27</v>
      </c>
      <c r="J157" s="1" t="s">
        <v>627</v>
      </c>
      <c r="K157" s="1" t="s">
        <v>41</v>
      </c>
      <c r="L157">
        <v>95123</v>
      </c>
      <c r="M157" s="1" t="s">
        <v>9</v>
      </c>
      <c r="N157" s="1" t="s">
        <v>632</v>
      </c>
      <c r="O157" s="1" t="s">
        <v>43</v>
      </c>
      <c r="P157" s="1" t="s">
        <v>56</v>
      </c>
      <c r="Q157" s="1" t="s">
        <v>633</v>
      </c>
      <c r="R157">
        <v>80.88</v>
      </c>
    </row>
    <row r="158" spans="1:18" x14ac:dyDescent="0.3">
      <c r="A158">
        <v>157</v>
      </c>
      <c r="B158" s="1" t="s">
        <v>634</v>
      </c>
      <c r="C158" s="2">
        <v>42518</v>
      </c>
      <c r="D158" s="2">
        <v>42524</v>
      </c>
      <c r="E158" s="1" t="s">
        <v>47</v>
      </c>
      <c r="F158" s="1" t="s">
        <v>635</v>
      </c>
      <c r="G158" s="1" t="s">
        <v>636</v>
      </c>
      <c r="H158" s="1" t="s">
        <v>99</v>
      </c>
      <c r="I158" s="1" t="s">
        <v>27</v>
      </c>
      <c r="J158" s="1" t="s">
        <v>92</v>
      </c>
      <c r="K158" s="1" t="s">
        <v>93</v>
      </c>
      <c r="L158">
        <v>98105</v>
      </c>
      <c r="M158" s="1" t="s">
        <v>9</v>
      </c>
      <c r="N158" s="1" t="s">
        <v>637</v>
      </c>
      <c r="O158" s="1" t="s">
        <v>43</v>
      </c>
      <c r="P158" s="1" t="s">
        <v>65</v>
      </c>
      <c r="Q158" s="1" t="s">
        <v>638</v>
      </c>
      <c r="R158">
        <v>6.63</v>
      </c>
    </row>
    <row r="159" spans="1:18" x14ac:dyDescent="0.3">
      <c r="A159">
        <v>158</v>
      </c>
      <c r="B159" s="1" t="s">
        <v>639</v>
      </c>
      <c r="C159" s="2">
        <v>42064</v>
      </c>
      <c r="D159" s="2">
        <v>42069</v>
      </c>
      <c r="E159" s="1" t="s">
        <v>23</v>
      </c>
      <c r="F159" s="1" t="s">
        <v>640</v>
      </c>
      <c r="G159" s="1" t="s">
        <v>641</v>
      </c>
      <c r="H159" s="1" t="s">
        <v>26</v>
      </c>
      <c r="I159" s="1" t="s">
        <v>27</v>
      </c>
      <c r="J159" s="1" t="s">
        <v>92</v>
      </c>
      <c r="K159" s="1" t="s">
        <v>93</v>
      </c>
      <c r="L159">
        <v>98115</v>
      </c>
      <c r="M159" s="1" t="s">
        <v>9</v>
      </c>
      <c r="N159" s="1" t="s">
        <v>529</v>
      </c>
      <c r="O159" s="1" t="s">
        <v>5</v>
      </c>
      <c r="P159" s="1" t="s">
        <v>34</v>
      </c>
      <c r="Q159" s="1" t="s">
        <v>530</v>
      </c>
      <c r="R159">
        <v>457.56799999999998</v>
      </c>
    </row>
    <row r="160" spans="1:18" x14ac:dyDescent="0.3">
      <c r="A160">
        <v>159</v>
      </c>
      <c r="B160" s="1" t="s">
        <v>642</v>
      </c>
      <c r="C160" s="2">
        <v>43059</v>
      </c>
      <c r="D160" s="2">
        <v>43063</v>
      </c>
      <c r="E160" s="1" t="s">
        <v>47</v>
      </c>
      <c r="F160" s="1" t="s">
        <v>643</v>
      </c>
      <c r="G160" s="1" t="s">
        <v>644</v>
      </c>
      <c r="H160" s="1" t="s">
        <v>26</v>
      </c>
      <c r="I160" s="1" t="s">
        <v>27</v>
      </c>
      <c r="J160" s="1" t="s">
        <v>645</v>
      </c>
      <c r="K160" s="1" t="s">
        <v>646</v>
      </c>
      <c r="L160">
        <v>73034</v>
      </c>
      <c r="M160" s="1" t="s">
        <v>102</v>
      </c>
      <c r="N160" s="1" t="s">
        <v>647</v>
      </c>
      <c r="O160" s="1" t="s">
        <v>43</v>
      </c>
      <c r="P160" s="1" t="s">
        <v>44</v>
      </c>
      <c r="Q160" s="1" t="s">
        <v>648</v>
      </c>
      <c r="R160">
        <v>14.62</v>
      </c>
    </row>
    <row r="161" spans="1:18" x14ac:dyDescent="0.3">
      <c r="A161">
        <v>160</v>
      </c>
      <c r="B161" s="1" t="s">
        <v>642</v>
      </c>
      <c r="C161" s="2">
        <v>43059</v>
      </c>
      <c r="D161" s="2">
        <v>43063</v>
      </c>
      <c r="E161" s="1" t="s">
        <v>47</v>
      </c>
      <c r="F161" s="1" t="s">
        <v>643</v>
      </c>
      <c r="G161" s="1" t="s">
        <v>644</v>
      </c>
      <c r="H161" s="1" t="s">
        <v>26</v>
      </c>
      <c r="I161" s="1" t="s">
        <v>27</v>
      </c>
      <c r="J161" s="1" t="s">
        <v>645</v>
      </c>
      <c r="K161" s="1" t="s">
        <v>646</v>
      </c>
      <c r="L161">
        <v>73034</v>
      </c>
      <c r="M161" s="1" t="s">
        <v>102</v>
      </c>
      <c r="N161" s="1" t="s">
        <v>649</v>
      </c>
      <c r="O161" s="1" t="s">
        <v>68</v>
      </c>
      <c r="P161" s="1" t="s">
        <v>69</v>
      </c>
      <c r="Q161" s="1" t="s">
        <v>650</v>
      </c>
      <c r="R161">
        <v>944.93</v>
      </c>
    </row>
    <row r="162" spans="1:18" x14ac:dyDescent="0.3">
      <c r="A162">
        <v>161</v>
      </c>
      <c r="B162" s="1" t="s">
        <v>651</v>
      </c>
      <c r="C162" s="2">
        <v>42866</v>
      </c>
      <c r="D162" s="2">
        <v>42867</v>
      </c>
      <c r="E162" s="1" t="s">
        <v>184</v>
      </c>
      <c r="F162" s="1" t="s">
        <v>652</v>
      </c>
      <c r="G162" s="1" t="s">
        <v>653</v>
      </c>
      <c r="H162" s="1" t="s">
        <v>26</v>
      </c>
      <c r="I162" s="1" t="s">
        <v>27</v>
      </c>
      <c r="J162" s="1" t="s">
        <v>40</v>
      </c>
      <c r="K162" s="1" t="s">
        <v>41</v>
      </c>
      <c r="L162">
        <v>90045</v>
      </c>
      <c r="M162" s="1" t="s">
        <v>9</v>
      </c>
      <c r="N162" s="1" t="s">
        <v>654</v>
      </c>
      <c r="O162" s="1" t="s">
        <v>43</v>
      </c>
      <c r="P162" s="1" t="s">
        <v>87</v>
      </c>
      <c r="Q162" s="1" t="s">
        <v>655</v>
      </c>
      <c r="R162">
        <v>5.98</v>
      </c>
    </row>
    <row r="163" spans="1:18" x14ac:dyDescent="0.3">
      <c r="A163">
        <v>162</v>
      </c>
      <c r="B163" s="1" t="s">
        <v>656</v>
      </c>
      <c r="C163" s="2">
        <v>42732</v>
      </c>
      <c r="D163" s="2">
        <v>42735</v>
      </c>
      <c r="E163" s="1" t="s">
        <v>23</v>
      </c>
      <c r="F163" s="1" t="s">
        <v>657</v>
      </c>
      <c r="G163" s="1" t="s">
        <v>658</v>
      </c>
      <c r="H163" s="1" t="s">
        <v>26</v>
      </c>
      <c r="I163" s="1" t="s">
        <v>27</v>
      </c>
      <c r="J163" s="1" t="s">
        <v>143</v>
      </c>
      <c r="K163" s="1" t="s">
        <v>144</v>
      </c>
      <c r="L163">
        <v>19134</v>
      </c>
      <c r="M163" s="1" t="s">
        <v>10</v>
      </c>
      <c r="N163" s="1" t="s">
        <v>659</v>
      </c>
      <c r="O163" s="1" t="s">
        <v>68</v>
      </c>
      <c r="P163" s="1" t="s">
        <v>157</v>
      </c>
      <c r="Q163" s="1" t="s">
        <v>660</v>
      </c>
      <c r="R163">
        <v>54.384</v>
      </c>
    </row>
    <row r="164" spans="1:18" x14ac:dyDescent="0.3">
      <c r="A164">
        <v>163</v>
      </c>
      <c r="B164" s="1" t="s">
        <v>661</v>
      </c>
      <c r="C164" s="2">
        <v>43055</v>
      </c>
      <c r="D164" s="2">
        <v>43059</v>
      </c>
      <c r="E164" s="1" t="s">
        <v>47</v>
      </c>
      <c r="F164" s="1" t="s">
        <v>662</v>
      </c>
      <c r="G164" s="1" t="s">
        <v>663</v>
      </c>
      <c r="H164" s="1" t="s">
        <v>26</v>
      </c>
      <c r="I164" s="1" t="s">
        <v>27</v>
      </c>
      <c r="J164" s="1" t="s">
        <v>664</v>
      </c>
      <c r="K164" s="1" t="s">
        <v>665</v>
      </c>
      <c r="L164">
        <v>88220</v>
      </c>
      <c r="M164" s="1" t="s">
        <v>9</v>
      </c>
      <c r="N164" s="1" t="s">
        <v>666</v>
      </c>
      <c r="O164" s="1" t="s">
        <v>43</v>
      </c>
      <c r="P164" s="1" t="s">
        <v>169</v>
      </c>
      <c r="Q164" s="1" t="s">
        <v>667</v>
      </c>
      <c r="R164">
        <v>28.4</v>
      </c>
    </row>
    <row r="165" spans="1:18" x14ac:dyDescent="0.3">
      <c r="A165">
        <v>164</v>
      </c>
      <c r="B165" s="1" t="s">
        <v>668</v>
      </c>
      <c r="C165" s="2">
        <v>43046</v>
      </c>
      <c r="D165" s="2">
        <v>43050</v>
      </c>
      <c r="E165" s="1" t="s">
        <v>47</v>
      </c>
      <c r="F165" s="1" t="s">
        <v>669</v>
      </c>
      <c r="G165" s="1" t="s">
        <v>670</v>
      </c>
      <c r="H165" s="1" t="s">
        <v>26</v>
      </c>
      <c r="I165" s="1" t="s">
        <v>27</v>
      </c>
      <c r="J165" s="1" t="s">
        <v>92</v>
      </c>
      <c r="K165" s="1" t="s">
        <v>93</v>
      </c>
      <c r="L165">
        <v>98115</v>
      </c>
      <c r="M165" s="1" t="s">
        <v>9</v>
      </c>
      <c r="N165" s="1" t="s">
        <v>671</v>
      </c>
      <c r="O165" s="1" t="s">
        <v>43</v>
      </c>
      <c r="P165" s="1" t="s">
        <v>72</v>
      </c>
      <c r="Q165" s="1" t="s">
        <v>672</v>
      </c>
      <c r="R165">
        <v>27.68</v>
      </c>
    </row>
    <row r="166" spans="1:18" x14ac:dyDescent="0.3">
      <c r="A166">
        <v>165</v>
      </c>
      <c r="B166" s="1" t="s">
        <v>673</v>
      </c>
      <c r="C166" s="2">
        <v>42255</v>
      </c>
      <c r="D166" s="2">
        <v>42259</v>
      </c>
      <c r="E166" s="1" t="s">
        <v>47</v>
      </c>
      <c r="F166" s="1" t="s">
        <v>674</v>
      </c>
      <c r="G166" s="1" t="s">
        <v>675</v>
      </c>
      <c r="H166" s="1" t="s">
        <v>26</v>
      </c>
      <c r="I166" s="1" t="s">
        <v>27</v>
      </c>
      <c r="J166" s="1" t="s">
        <v>676</v>
      </c>
      <c r="K166" s="1" t="s">
        <v>101</v>
      </c>
      <c r="L166">
        <v>78207</v>
      </c>
      <c r="M166" s="1" t="s">
        <v>102</v>
      </c>
      <c r="N166" s="1" t="s">
        <v>677</v>
      </c>
      <c r="O166" s="1" t="s">
        <v>43</v>
      </c>
      <c r="P166" s="1" t="s">
        <v>65</v>
      </c>
      <c r="Q166" s="1" t="s">
        <v>678</v>
      </c>
      <c r="R166">
        <v>9.9359999999999999</v>
      </c>
    </row>
    <row r="167" spans="1:18" x14ac:dyDescent="0.3">
      <c r="A167">
        <v>166</v>
      </c>
      <c r="B167" s="1" t="s">
        <v>673</v>
      </c>
      <c r="C167" s="2">
        <v>42255</v>
      </c>
      <c r="D167" s="2">
        <v>42259</v>
      </c>
      <c r="E167" s="1" t="s">
        <v>47</v>
      </c>
      <c r="F167" s="1" t="s">
        <v>674</v>
      </c>
      <c r="G167" s="1" t="s">
        <v>675</v>
      </c>
      <c r="H167" s="1" t="s">
        <v>26</v>
      </c>
      <c r="I167" s="1" t="s">
        <v>27</v>
      </c>
      <c r="J167" s="1" t="s">
        <v>676</v>
      </c>
      <c r="K167" s="1" t="s">
        <v>101</v>
      </c>
      <c r="L167">
        <v>78207</v>
      </c>
      <c r="M167" s="1" t="s">
        <v>102</v>
      </c>
      <c r="N167" s="1" t="s">
        <v>679</v>
      </c>
      <c r="O167" s="1" t="s">
        <v>68</v>
      </c>
      <c r="P167" s="1" t="s">
        <v>680</v>
      </c>
      <c r="Q167" s="1" t="s">
        <v>681</v>
      </c>
      <c r="R167">
        <v>8159.9520000000002</v>
      </c>
    </row>
    <row r="168" spans="1:18" x14ac:dyDescent="0.3">
      <c r="A168">
        <v>167</v>
      </c>
      <c r="B168" s="1" t="s">
        <v>673</v>
      </c>
      <c r="C168" s="2">
        <v>42255</v>
      </c>
      <c r="D168" s="2">
        <v>42259</v>
      </c>
      <c r="E168" s="1" t="s">
        <v>47</v>
      </c>
      <c r="F168" s="1" t="s">
        <v>674</v>
      </c>
      <c r="G168" s="1" t="s">
        <v>675</v>
      </c>
      <c r="H168" s="1" t="s">
        <v>26</v>
      </c>
      <c r="I168" s="1" t="s">
        <v>27</v>
      </c>
      <c r="J168" s="1" t="s">
        <v>676</v>
      </c>
      <c r="K168" s="1" t="s">
        <v>101</v>
      </c>
      <c r="L168">
        <v>78207</v>
      </c>
      <c r="M168" s="1" t="s">
        <v>102</v>
      </c>
      <c r="N168" s="1" t="s">
        <v>682</v>
      </c>
      <c r="O168" s="1" t="s">
        <v>43</v>
      </c>
      <c r="P168" s="1" t="s">
        <v>56</v>
      </c>
      <c r="Q168" s="1" t="s">
        <v>683</v>
      </c>
      <c r="R168">
        <v>275.928</v>
      </c>
    </row>
    <row r="169" spans="1:18" x14ac:dyDescent="0.3">
      <c r="A169">
        <v>168</v>
      </c>
      <c r="B169" s="1" t="s">
        <v>673</v>
      </c>
      <c r="C169" s="2">
        <v>42255</v>
      </c>
      <c r="D169" s="2">
        <v>42259</v>
      </c>
      <c r="E169" s="1" t="s">
        <v>47</v>
      </c>
      <c r="F169" s="1" t="s">
        <v>674</v>
      </c>
      <c r="G169" s="1" t="s">
        <v>675</v>
      </c>
      <c r="H169" s="1" t="s">
        <v>26</v>
      </c>
      <c r="I169" s="1" t="s">
        <v>27</v>
      </c>
      <c r="J169" s="1" t="s">
        <v>676</v>
      </c>
      <c r="K169" s="1" t="s">
        <v>101</v>
      </c>
      <c r="L169">
        <v>78207</v>
      </c>
      <c r="M169" s="1" t="s">
        <v>102</v>
      </c>
      <c r="N169" s="1" t="s">
        <v>684</v>
      </c>
      <c r="O169" s="1" t="s">
        <v>5</v>
      </c>
      <c r="P169" s="1" t="s">
        <v>34</v>
      </c>
      <c r="Q169" s="1" t="s">
        <v>685</v>
      </c>
      <c r="R169">
        <v>1740.06</v>
      </c>
    </row>
    <row r="170" spans="1:18" x14ac:dyDescent="0.3">
      <c r="A170">
        <v>169</v>
      </c>
      <c r="B170" s="1" t="s">
        <v>673</v>
      </c>
      <c r="C170" s="2">
        <v>42255</v>
      </c>
      <c r="D170" s="2">
        <v>42259</v>
      </c>
      <c r="E170" s="1" t="s">
        <v>47</v>
      </c>
      <c r="F170" s="1" t="s">
        <v>674</v>
      </c>
      <c r="G170" s="1" t="s">
        <v>675</v>
      </c>
      <c r="H170" s="1" t="s">
        <v>26</v>
      </c>
      <c r="I170" s="1" t="s">
        <v>27</v>
      </c>
      <c r="J170" s="1" t="s">
        <v>676</v>
      </c>
      <c r="K170" s="1" t="s">
        <v>101</v>
      </c>
      <c r="L170">
        <v>78207</v>
      </c>
      <c r="M170" s="1" t="s">
        <v>102</v>
      </c>
      <c r="N170" s="1" t="s">
        <v>686</v>
      </c>
      <c r="O170" s="1" t="s">
        <v>43</v>
      </c>
      <c r="P170" s="1" t="s">
        <v>65</v>
      </c>
      <c r="Q170" s="1" t="s">
        <v>687</v>
      </c>
      <c r="R170">
        <v>32.064</v>
      </c>
    </row>
    <row r="171" spans="1:18" x14ac:dyDescent="0.3">
      <c r="A171">
        <v>170</v>
      </c>
      <c r="B171" s="1" t="s">
        <v>673</v>
      </c>
      <c r="C171" s="2">
        <v>42255</v>
      </c>
      <c r="D171" s="2">
        <v>42259</v>
      </c>
      <c r="E171" s="1" t="s">
        <v>47</v>
      </c>
      <c r="F171" s="1" t="s">
        <v>674</v>
      </c>
      <c r="G171" s="1" t="s">
        <v>675</v>
      </c>
      <c r="H171" s="1" t="s">
        <v>26</v>
      </c>
      <c r="I171" s="1" t="s">
        <v>27</v>
      </c>
      <c r="J171" s="1" t="s">
        <v>676</v>
      </c>
      <c r="K171" s="1" t="s">
        <v>101</v>
      </c>
      <c r="L171">
        <v>78207</v>
      </c>
      <c r="M171" s="1" t="s">
        <v>102</v>
      </c>
      <c r="N171" s="1" t="s">
        <v>688</v>
      </c>
      <c r="O171" s="1" t="s">
        <v>43</v>
      </c>
      <c r="P171" s="1" t="s">
        <v>75</v>
      </c>
      <c r="Q171" s="1" t="s">
        <v>689</v>
      </c>
      <c r="R171">
        <v>177.98</v>
      </c>
    </row>
    <row r="172" spans="1:18" x14ac:dyDescent="0.3">
      <c r="A172">
        <v>171</v>
      </c>
      <c r="B172" s="1" t="s">
        <v>673</v>
      </c>
      <c r="C172" s="2">
        <v>42255</v>
      </c>
      <c r="D172" s="2">
        <v>42259</v>
      </c>
      <c r="E172" s="1" t="s">
        <v>47</v>
      </c>
      <c r="F172" s="1" t="s">
        <v>674</v>
      </c>
      <c r="G172" s="1" t="s">
        <v>675</v>
      </c>
      <c r="H172" s="1" t="s">
        <v>26</v>
      </c>
      <c r="I172" s="1" t="s">
        <v>27</v>
      </c>
      <c r="J172" s="1" t="s">
        <v>676</v>
      </c>
      <c r="K172" s="1" t="s">
        <v>101</v>
      </c>
      <c r="L172">
        <v>78207</v>
      </c>
      <c r="M172" s="1" t="s">
        <v>102</v>
      </c>
      <c r="N172" s="1" t="s">
        <v>690</v>
      </c>
      <c r="O172" s="1" t="s">
        <v>68</v>
      </c>
      <c r="P172" s="1" t="s">
        <v>69</v>
      </c>
      <c r="Q172" s="1" t="s">
        <v>691</v>
      </c>
      <c r="R172">
        <v>143.976</v>
      </c>
    </row>
    <row r="173" spans="1:18" x14ac:dyDescent="0.3">
      <c r="A173">
        <v>172</v>
      </c>
      <c r="B173" s="1" t="s">
        <v>692</v>
      </c>
      <c r="C173" s="2">
        <v>42221</v>
      </c>
      <c r="D173" s="2">
        <v>42225</v>
      </c>
      <c r="E173" s="1" t="s">
        <v>47</v>
      </c>
      <c r="F173" s="1" t="s">
        <v>693</v>
      </c>
      <c r="G173" s="1" t="s">
        <v>694</v>
      </c>
      <c r="H173" s="1" t="s">
        <v>26</v>
      </c>
      <c r="I173" s="1" t="s">
        <v>27</v>
      </c>
      <c r="J173" s="1" t="s">
        <v>40</v>
      </c>
      <c r="K173" s="1" t="s">
        <v>41</v>
      </c>
      <c r="L173">
        <v>90004</v>
      </c>
      <c r="M173" s="1" t="s">
        <v>9</v>
      </c>
      <c r="N173" s="1" t="s">
        <v>695</v>
      </c>
      <c r="O173" s="1" t="s">
        <v>43</v>
      </c>
      <c r="P173" s="1" t="s">
        <v>87</v>
      </c>
      <c r="Q173" s="1" t="s">
        <v>696</v>
      </c>
      <c r="R173">
        <v>20.94</v>
      </c>
    </row>
    <row r="174" spans="1:18" x14ac:dyDescent="0.3">
      <c r="A174">
        <v>173</v>
      </c>
      <c r="B174" s="1" t="s">
        <v>692</v>
      </c>
      <c r="C174" s="2">
        <v>42221</v>
      </c>
      <c r="D174" s="2">
        <v>42225</v>
      </c>
      <c r="E174" s="1" t="s">
        <v>47</v>
      </c>
      <c r="F174" s="1" t="s">
        <v>693</v>
      </c>
      <c r="G174" s="1" t="s">
        <v>694</v>
      </c>
      <c r="H174" s="1" t="s">
        <v>26</v>
      </c>
      <c r="I174" s="1" t="s">
        <v>27</v>
      </c>
      <c r="J174" s="1" t="s">
        <v>40</v>
      </c>
      <c r="K174" s="1" t="s">
        <v>41</v>
      </c>
      <c r="L174">
        <v>90004</v>
      </c>
      <c r="M174" s="1" t="s">
        <v>9</v>
      </c>
      <c r="N174" s="1" t="s">
        <v>697</v>
      </c>
      <c r="O174" s="1" t="s">
        <v>43</v>
      </c>
      <c r="P174" s="1" t="s">
        <v>87</v>
      </c>
      <c r="Q174" s="1" t="s">
        <v>698</v>
      </c>
      <c r="R174">
        <v>110.96</v>
      </c>
    </row>
    <row r="175" spans="1:18" x14ac:dyDescent="0.3">
      <c r="A175">
        <v>174</v>
      </c>
      <c r="B175" s="1" t="s">
        <v>692</v>
      </c>
      <c r="C175" s="2">
        <v>42221</v>
      </c>
      <c r="D175" s="2">
        <v>42225</v>
      </c>
      <c r="E175" s="1" t="s">
        <v>47</v>
      </c>
      <c r="F175" s="1" t="s">
        <v>693</v>
      </c>
      <c r="G175" s="1" t="s">
        <v>694</v>
      </c>
      <c r="H175" s="1" t="s">
        <v>26</v>
      </c>
      <c r="I175" s="1" t="s">
        <v>27</v>
      </c>
      <c r="J175" s="1" t="s">
        <v>40</v>
      </c>
      <c r="K175" s="1" t="s">
        <v>41</v>
      </c>
      <c r="L175">
        <v>90004</v>
      </c>
      <c r="M175" s="1" t="s">
        <v>9</v>
      </c>
      <c r="N175" s="1" t="s">
        <v>699</v>
      </c>
      <c r="O175" s="1" t="s">
        <v>5</v>
      </c>
      <c r="P175" s="1" t="s">
        <v>34</v>
      </c>
      <c r="Q175" s="1" t="s">
        <v>700</v>
      </c>
      <c r="R175">
        <v>340.14400000000001</v>
      </c>
    </row>
    <row r="176" spans="1:18" x14ac:dyDescent="0.3">
      <c r="A176">
        <v>175</v>
      </c>
      <c r="B176" s="1" t="s">
        <v>701</v>
      </c>
      <c r="C176" s="2">
        <v>42261</v>
      </c>
      <c r="D176" s="2">
        <v>42266</v>
      </c>
      <c r="E176" s="1" t="s">
        <v>47</v>
      </c>
      <c r="F176" s="1" t="s">
        <v>702</v>
      </c>
      <c r="G176" s="1" t="s">
        <v>703</v>
      </c>
      <c r="H176" s="1" t="s">
        <v>39</v>
      </c>
      <c r="I176" s="1" t="s">
        <v>27</v>
      </c>
      <c r="J176" s="1" t="s">
        <v>299</v>
      </c>
      <c r="K176" s="1" t="s">
        <v>207</v>
      </c>
      <c r="L176">
        <v>60623</v>
      </c>
      <c r="M176" s="1" t="s">
        <v>102</v>
      </c>
      <c r="N176" s="1" t="s">
        <v>704</v>
      </c>
      <c r="O176" s="1" t="s">
        <v>43</v>
      </c>
      <c r="P176" s="1" t="s">
        <v>75</v>
      </c>
      <c r="Q176" s="1" t="s">
        <v>705</v>
      </c>
      <c r="R176">
        <v>52.448</v>
      </c>
    </row>
    <row r="177" spans="1:18" x14ac:dyDescent="0.3">
      <c r="A177">
        <v>176</v>
      </c>
      <c r="B177" s="1" t="s">
        <v>701</v>
      </c>
      <c r="C177" s="2">
        <v>42261</v>
      </c>
      <c r="D177" s="2">
        <v>42266</v>
      </c>
      <c r="E177" s="1" t="s">
        <v>47</v>
      </c>
      <c r="F177" s="1" t="s">
        <v>702</v>
      </c>
      <c r="G177" s="1" t="s">
        <v>703</v>
      </c>
      <c r="H177" s="1" t="s">
        <v>39</v>
      </c>
      <c r="I177" s="1" t="s">
        <v>27</v>
      </c>
      <c r="J177" s="1" t="s">
        <v>299</v>
      </c>
      <c r="K177" s="1" t="s">
        <v>207</v>
      </c>
      <c r="L177">
        <v>60623</v>
      </c>
      <c r="M177" s="1" t="s">
        <v>102</v>
      </c>
      <c r="N177" s="1" t="s">
        <v>706</v>
      </c>
      <c r="O177" s="1" t="s">
        <v>43</v>
      </c>
      <c r="P177" s="1" t="s">
        <v>44</v>
      </c>
      <c r="Q177" s="1" t="s">
        <v>707</v>
      </c>
      <c r="R177">
        <v>20.16</v>
      </c>
    </row>
    <row r="178" spans="1:18" x14ac:dyDescent="0.3">
      <c r="A178">
        <v>177</v>
      </c>
      <c r="B178" s="1" t="s">
        <v>708</v>
      </c>
      <c r="C178" s="2">
        <v>43211</v>
      </c>
      <c r="D178" s="2">
        <v>43215</v>
      </c>
      <c r="E178" s="1" t="s">
        <v>23</v>
      </c>
      <c r="F178" s="1" t="s">
        <v>709</v>
      </c>
      <c r="G178" s="1" t="s">
        <v>710</v>
      </c>
      <c r="H178" s="1" t="s">
        <v>26</v>
      </c>
      <c r="I178" s="1" t="s">
        <v>27</v>
      </c>
      <c r="J178" s="1" t="s">
        <v>180</v>
      </c>
      <c r="K178" s="1" t="s">
        <v>101</v>
      </c>
      <c r="L178">
        <v>77036</v>
      </c>
      <c r="M178" s="1" t="s">
        <v>102</v>
      </c>
      <c r="N178" s="1" t="s">
        <v>711</v>
      </c>
      <c r="O178" s="1" t="s">
        <v>43</v>
      </c>
      <c r="P178" s="1" t="s">
        <v>75</v>
      </c>
      <c r="Q178" s="1" t="s">
        <v>712</v>
      </c>
      <c r="R178">
        <v>97.263999999999996</v>
      </c>
    </row>
    <row r="179" spans="1:18" x14ac:dyDescent="0.3">
      <c r="A179">
        <v>178</v>
      </c>
      <c r="B179" s="1" t="s">
        <v>713</v>
      </c>
      <c r="C179" s="2">
        <v>42695</v>
      </c>
      <c r="D179" s="2">
        <v>42697</v>
      </c>
      <c r="E179" s="1" t="s">
        <v>23</v>
      </c>
      <c r="F179" s="1" t="s">
        <v>328</v>
      </c>
      <c r="G179" s="1" t="s">
        <v>329</v>
      </c>
      <c r="H179" s="1" t="s">
        <v>26</v>
      </c>
      <c r="I179" s="1" t="s">
        <v>27</v>
      </c>
      <c r="J179" s="1" t="s">
        <v>603</v>
      </c>
      <c r="K179" s="1" t="s">
        <v>494</v>
      </c>
      <c r="L179">
        <v>43055</v>
      </c>
      <c r="M179" s="1" t="s">
        <v>10</v>
      </c>
      <c r="N179" s="1" t="s">
        <v>714</v>
      </c>
      <c r="O179" s="1" t="s">
        <v>5</v>
      </c>
      <c r="P179" s="1" t="s">
        <v>34</v>
      </c>
      <c r="Q179" s="1" t="s">
        <v>715</v>
      </c>
      <c r="R179">
        <v>396.80200000000002</v>
      </c>
    </row>
    <row r="180" spans="1:18" x14ac:dyDescent="0.3">
      <c r="A180">
        <v>179</v>
      </c>
      <c r="B180" s="1" t="s">
        <v>713</v>
      </c>
      <c r="C180" s="2">
        <v>42695</v>
      </c>
      <c r="D180" s="2">
        <v>42697</v>
      </c>
      <c r="E180" s="1" t="s">
        <v>23</v>
      </c>
      <c r="F180" s="1" t="s">
        <v>328</v>
      </c>
      <c r="G180" s="1" t="s">
        <v>329</v>
      </c>
      <c r="H180" s="1" t="s">
        <v>26</v>
      </c>
      <c r="I180" s="1" t="s">
        <v>27</v>
      </c>
      <c r="J180" s="1" t="s">
        <v>603</v>
      </c>
      <c r="K180" s="1" t="s">
        <v>494</v>
      </c>
      <c r="L180">
        <v>43055</v>
      </c>
      <c r="M180" s="1" t="s">
        <v>10</v>
      </c>
      <c r="N180" s="1" t="s">
        <v>716</v>
      </c>
      <c r="O180" s="1" t="s">
        <v>43</v>
      </c>
      <c r="P180" s="1" t="s">
        <v>575</v>
      </c>
      <c r="Q180" s="1" t="s">
        <v>717</v>
      </c>
      <c r="R180">
        <v>15.88</v>
      </c>
    </row>
    <row r="181" spans="1:18" x14ac:dyDescent="0.3">
      <c r="A181">
        <v>180</v>
      </c>
      <c r="B181" s="1" t="s">
        <v>718</v>
      </c>
      <c r="C181" s="2">
        <v>42719</v>
      </c>
      <c r="D181" s="2">
        <v>42723</v>
      </c>
      <c r="E181" s="1" t="s">
        <v>47</v>
      </c>
      <c r="F181" s="1" t="s">
        <v>719</v>
      </c>
      <c r="G181" s="1" t="s">
        <v>720</v>
      </c>
      <c r="H181" s="1" t="s">
        <v>99</v>
      </c>
      <c r="I181" s="1" t="s">
        <v>27</v>
      </c>
      <c r="J181" s="1" t="s">
        <v>262</v>
      </c>
      <c r="K181" s="1" t="s">
        <v>263</v>
      </c>
      <c r="L181">
        <v>10009</v>
      </c>
      <c r="M181" s="1" t="s">
        <v>10</v>
      </c>
      <c r="N181" s="1" t="s">
        <v>721</v>
      </c>
      <c r="O181" s="1" t="s">
        <v>43</v>
      </c>
      <c r="P181" s="1" t="s">
        <v>65</v>
      </c>
      <c r="Q181" s="1" t="s">
        <v>722</v>
      </c>
      <c r="R181">
        <v>3.28</v>
      </c>
    </row>
    <row r="182" spans="1:18" x14ac:dyDescent="0.3">
      <c r="A182">
        <v>181</v>
      </c>
      <c r="B182" s="1" t="s">
        <v>723</v>
      </c>
      <c r="C182" s="2">
        <v>42343</v>
      </c>
      <c r="D182" s="2">
        <v>42347</v>
      </c>
      <c r="E182" s="1" t="s">
        <v>23</v>
      </c>
      <c r="F182" s="1" t="s">
        <v>724</v>
      </c>
      <c r="G182" s="1" t="s">
        <v>725</v>
      </c>
      <c r="H182" s="1" t="s">
        <v>39</v>
      </c>
      <c r="I182" s="1" t="s">
        <v>27</v>
      </c>
      <c r="J182" s="1" t="s">
        <v>353</v>
      </c>
      <c r="K182" s="1" t="s">
        <v>207</v>
      </c>
      <c r="L182">
        <v>62521</v>
      </c>
      <c r="M182" s="1" t="s">
        <v>102</v>
      </c>
      <c r="N182" s="1" t="s">
        <v>726</v>
      </c>
      <c r="O182" s="1" t="s">
        <v>43</v>
      </c>
      <c r="P182" s="1" t="s">
        <v>56</v>
      </c>
      <c r="Q182" s="1" t="s">
        <v>727</v>
      </c>
      <c r="R182">
        <v>24.815999999999999</v>
      </c>
    </row>
    <row r="183" spans="1:18" x14ac:dyDescent="0.3">
      <c r="A183">
        <v>182</v>
      </c>
      <c r="B183" s="1" t="s">
        <v>723</v>
      </c>
      <c r="C183" s="2">
        <v>42343</v>
      </c>
      <c r="D183" s="2">
        <v>42347</v>
      </c>
      <c r="E183" s="1" t="s">
        <v>23</v>
      </c>
      <c r="F183" s="1" t="s">
        <v>724</v>
      </c>
      <c r="G183" s="1" t="s">
        <v>725</v>
      </c>
      <c r="H183" s="1" t="s">
        <v>39</v>
      </c>
      <c r="I183" s="1" t="s">
        <v>27</v>
      </c>
      <c r="J183" s="1" t="s">
        <v>353</v>
      </c>
      <c r="K183" s="1" t="s">
        <v>207</v>
      </c>
      <c r="L183">
        <v>62521</v>
      </c>
      <c r="M183" s="1" t="s">
        <v>102</v>
      </c>
      <c r="N183" s="1" t="s">
        <v>728</v>
      </c>
      <c r="O183" s="1" t="s">
        <v>68</v>
      </c>
      <c r="P183" s="1" t="s">
        <v>157</v>
      </c>
      <c r="Q183" s="1" t="s">
        <v>729</v>
      </c>
      <c r="R183">
        <v>408.74400000000003</v>
      </c>
    </row>
    <row r="184" spans="1:18" x14ac:dyDescent="0.3">
      <c r="A184">
        <v>183</v>
      </c>
      <c r="B184" s="1" t="s">
        <v>730</v>
      </c>
      <c r="C184" s="2">
        <v>42327</v>
      </c>
      <c r="D184" s="2">
        <v>42332</v>
      </c>
      <c r="E184" s="1" t="s">
        <v>23</v>
      </c>
      <c r="F184" s="1" t="s">
        <v>731</v>
      </c>
      <c r="G184" s="1" t="s">
        <v>732</v>
      </c>
      <c r="H184" s="1" t="s">
        <v>99</v>
      </c>
      <c r="I184" s="1" t="s">
        <v>27</v>
      </c>
      <c r="J184" s="1" t="s">
        <v>733</v>
      </c>
      <c r="K184" s="1" t="s">
        <v>734</v>
      </c>
      <c r="L184">
        <v>71203</v>
      </c>
      <c r="M184" s="1" t="s">
        <v>8</v>
      </c>
      <c r="N184" s="1" t="s">
        <v>735</v>
      </c>
      <c r="O184" s="1" t="s">
        <v>68</v>
      </c>
      <c r="P184" s="1" t="s">
        <v>69</v>
      </c>
      <c r="Q184" s="1" t="s">
        <v>736</v>
      </c>
      <c r="R184">
        <v>503.96</v>
      </c>
    </row>
    <row r="185" spans="1:18" x14ac:dyDescent="0.3">
      <c r="A185">
        <v>184</v>
      </c>
      <c r="B185" s="1" t="s">
        <v>730</v>
      </c>
      <c r="C185" s="2">
        <v>42327</v>
      </c>
      <c r="D185" s="2">
        <v>42332</v>
      </c>
      <c r="E185" s="1" t="s">
        <v>23</v>
      </c>
      <c r="F185" s="1" t="s">
        <v>731</v>
      </c>
      <c r="G185" s="1" t="s">
        <v>732</v>
      </c>
      <c r="H185" s="1" t="s">
        <v>99</v>
      </c>
      <c r="I185" s="1" t="s">
        <v>27</v>
      </c>
      <c r="J185" s="1" t="s">
        <v>733</v>
      </c>
      <c r="K185" s="1" t="s">
        <v>734</v>
      </c>
      <c r="L185">
        <v>71203</v>
      </c>
      <c r="M185" s="1" t="s">
        <v>8</v>
      </c>
      <c r="N185" s="1" t="s">
        <v>737</v>
      </c>
      <c r="O185" s="1" t="s">
        <v>68</v>
      </c>
      <c r="P185" s="1" t="s">
        <v>69</v>
      </c>
      <c r="Q185" s="1" t="s">
        <v>738</v>
      </c>
      <c r="R185">
        <v>149.94999999999999</v>
      </c>
    </row>
    <row r="186" spans="1:18" x14ac:dyDescent="0.3">
      <c r="A186">
        <v>185</v>
      </c>
      <c r="B186" s="1" t="s">
        <v>730</v>
      </c>
      <c r="C186" s="2">
        <v>42327</v>
      </c>
      <c r="D186" s="2">
        <v>42332</v>
      </c>
      <c r="E186" s="1" t="s">
        <v>23</v>
      </c>
      <c r="F186" s="1" t="s">
        <v>731</v>
      </c>
      <c r="G186" s="1" t="s">
        <v>732</v>
      </c>
      <c r="H186" s="1" t="s">
        <v>99</v>
      </c>
      <c r="I186" s="1" t="s">
        <v>27</v>
      </c>
      <c r="J186" s="1" t="s">
        <v>733</v>
      </c>
      <c r="K186" s="1" t="s">
        <v>734</v>
      </c>
      <c r="L186">
        <v>71203</v>
      </c>
      <c r="M186" s="1" t="s">
        <v>8</v>
      </c>
      <c r="N186" s="1" t="s">
        <v>739</v>
      </c>
      <c r="O186" s="1" t="s">
        <v>68</v>
      </c>
      <c r="P186" s="1" t="s">
        <v>157</v>
      </c>
      <c r="Q186" s="1" t="s">
        <v>740</v>
      </c>
      <c r="R186">
        <v>29</v>
      </c>
    </row>
    <row r="187" spans="1:18" x14ac:dyDescent="0.3">
      <c r="A187">
        <v>186</v>
      </c>
      <c r="B187" s="1" t="s">
        <v>741</v>
      </c>
      <c r="C187" s="2">
        <v>43067</v>
      </c>
      <c r="D187" s="2">
        <v>43071</v>
      </c>
      <c r="E187" s="1" t="s">
        <v>47</v>
      </c>
      <c r="F187" s="1" t="s">
        <v>742</v>
      </c>
      <c r="G187" s="1" t="s">
        <v>743</v>
      </c>
      <c r="H187" s="1" t="s">
        <v>26</v>
      </c>
      <c r="I187" s="1" t="s">
        <v>27</v>
      </c>
      <c r="J187" s="1" t="s">
        <v>744</v>
      </c>
      <c r="K187" s="1" t="s">
        <v>745</v>
      </c>
      <c r="L187">
        <v>6824</v>
      </c>
      <c r="M187" s="1" t="s">
        <v>10</v>
      </c>
      <c r="N187" s="1" t="s">
        <v>746</v>
      </c>
      <c r="O187" s="1" t="s">
        <v>43</v>
      </c>
      <c r="P187" s="1" t="s">
        <v>72</v>
      </c>
      <c r="Q187" s="1" t="s">
        <v>747</v>
      </c>
      <c r="R187">
        <v>7.16</v>
      </c>
    </row>
    <row r="188" spans="1:18" x14ac:dyDescent="0.3">
      <c r="A188">
        <v>187</v>
      </c>
      <c r="B188" s="1" t="s">
        <v>748</v>
      </c>
      <c r="C188" s="2">
        <v>42242</v>
      </c>
      <c r="D188" s="2">
        <v>42246</v>
      </c>
      <c r="E188" s="1" t="s">
        <v>47</v>
      </c>
      <c r="F188" s="1" t="s">
        <v>749</v>
      </c>
      <c r="G188" s="1" t="s">
        <v>750</v>
      </c>
      <c r="H188" s="1" t="s">
        <v>99</v>
      </c>
      <c r="I188" s="1" t="s">
        <v>27</v>
      </c>
      <c r="J188" s="1" t="s">
        <v>40</v>
      </c>
      <c r="K188" s="1" t="s">
        <v>41</v>
      </c>
      <c r="L188">
        <v>90032</v>
      </c>
      <c r="M188" s="1" t="s">
        <v>9</v>
      </c>
      <c r="N188" s="1" t="s">
        <v>751</v>
      </c>
      <c r="O188" s="1" t="s">
        <v>68</v>
      </c>
      <c r="P188" s="1" t="s">
        <v>157</v>
      </c>
      <c r="Q188" s="1" t="s">
        <v>752</v>
      </c>
      <c r="R188">
        <v>176.8</v>
      </c>
    </row>
    <row r="189" spans="1:18" x14ac:dyDescent="0.3">
      <c r="A189">
        <v>188</v>
      </c>
      <c r="B189" s="1" t="s">
        <v>753</v>
      </c>
      <c r="C189" s="2">
        <v>42932</v>
      </c>
      <c r="D189" s="2">
        <v>42938</v>
      </c>
      <c r="E189" s="1" t="s">
        <v>47</v>
      </c>
      <c r="F189" s="1" t="s">
        <v>754</v>
      </c>
      <c r="G189" s="1" t="s">
        <v>755</v>
      </c>
      <c r="H189" s="1" t="s">
        <v>39</v>
      </c>
      <c r="I189" s="1" t="s">
        <v>27</v>
      </c>
      <c r="J189" s="1" t="s">
        <v>756</v>
      </c>
      <c r="K189" s="1" t="s">
        <v>101</v>
      </c>
      <c r="L189">
        <v>75051</v>
      </c>
      <c r="M189" s="1" t="s">
        <v>102</v>
      </c>
      <c r="N189" s="1" t="s">
        <v>757</v>
      </c>
      <c r="O189" s="1" t="s">
        <v>43</v>
      </c>
      <c r="P189" s="1" t="s">
        <v>56</v>
      </c>
      <c r="Q189" s="1" t="s">
        <v>758</v>
      </c>
      <c r="R189">
        <v>37.223999999999997</v>
      </c>
    </row>
    <row r="190" spans="1:18" x14ac:dyDescent="0.3">
      <c r="A190">
        <v>189</v>
      </c>
      <c r="B190" s="1" t="s">
        <v>753</v>
      </c>
      <c r="C190" s="2">
        <v>42932</v>
      </c>
      <c r="D190" s="2">
        <v>42938</v>
      </c>
      <c r="E190" s="1" t="s">
        <v>47</v>
      </c>
      <c r="F190" s="1" t="s">
        <v>754</v>
      </c>
      <c r="G190" s="1" t="s">
        <v>755</v>
      </c>
      <c r="H190" s="1" t="s">
        <v>39</v>
      </c>
      <c r="I190" s="1" t="s">
        <v>27</v>
      </c>
      <c r="J190" s="1" t="s">
        <v>756</v>
      </c>
      <c r="K190" s="1" t="s">
        <v>101</v>
      </c>
      <c r="L190">
        <v>75051</v>
      </c>
      <c r="M190" s="1" t="s">
        <v>102</v>
      </c>
      <c r="N190" s="1" t="s">
        <v>628</v>
      </c>
      <c r="O190" s="1" t="s">
        <v>43</v>
      </c>
      <c r="P190" s="1" t="s">
        <v>87</v>
      </c>
      <c r="Q190" s="1" t="s">
        <v>629</v>
      </c>
      <c r="R190">
        <v>20.015999999999998</v>
      </c>
    </row>
    <row r="191" spans="1:18" x14ac:dyDescent="0.3">
      <c r="A191">
        <v>190</v>
      </c>
      <c r="B191" s="1" t="s">
        <v>759</v>
      </c>
      <c r="C191" s="2">
        <v>42655</v>
      </c>
      <c r="D191" s="2">
        <v>42657</v>
      </c>
      <c r="E191" s="1" t="s">
        <v>184</v>
      </c>
      <c r="F191" s="1" t="s">
        <v>760</v>
      </c>
      <c r="G191" s="1" t="s">
        <v>761</v>
      </c>
      <c r="H191" s="1" t="s">
        <v>99</v>
      </c>
      <c r="I191" s="1" t="s">
        <v>27</v>
      </c>
      <c r="J191" s="1" t="s">
        <v>262</v>
      </c>
      <c r="K191" s="1" t="s">
        <v>263</v>
      </c>
      <c r="L191">
        <v>10035</v>
      </c>
      <c r="M191" s="1" t="s">
        <v>10</v>
      </c>
      <c r="N191" s="1" t="s">
        <v>762</v>
      </c>
      <c r="O191" s="1" t="s">
        <v>5</v>
      </c>
      <c r="P191" s="1" t="s">
        <v>31</v>
      </c>
      <c r="Q191" s="1" t="s">
        <v>763</v>
      </c>
      <c r="R191">
        <v>899.13599999999997</v>
      </c>
    </row>
    <row r="192" spans="1:18" x14ac:dyDescent="0.3">
      <c r="A192">
        <v>191</v>
      </c>
      <c r="B192" s="1" t="s">
        <v>759</v>
      </c>
      <c r="C192" s="2">
        <v>42655</v>
      </c>
      <c r="D192" s="2">
        <v>42657</v>
      </c>
      <c r="E192" s="1" t="s">
        <v>184</v>
      </c>
      <c r="F192" s="1" t="s">
        <v>760</v>
      </c>
      <c r="G192" s="1" t="s">
        <v>761</v>
      </c>
      <c r="H192" s="1" t="s">
        <v>99</v>
      </c>
      <c r="I192" s="1" t="s">
        <v>27</v>
      </c>
      <c r="J192" s="1" t="s">
        <v>262</v>
      </c>
      <c r="K192" s="1" t="s">
        <v>263</v>
      </c>
      <c r="L192">
        <v>10035</v>
      </c>
      <c r="M192" s="1" t="s">
        <v>10</v>
      </c>
      <c r="N192" s="1" t="s">
        <v>764</v>
      </c>
      <c r="O192" s="1" t="s">
        <v>68</v>
      </c>
      <c r="P192" s="1" t="s">
        <v>69</v>
      </c>
      <c r="Q192" s="1" t="s">
        <v>765</v>
      </c>
      <c r="R192">
        <v>71.760000000000005</v>
      </c>
    </row>
    <row r="193" spans="1:18" x14ac:dyDescent="0.3">
      <c r="A193">
        <v>192</v>
      </c>
      <c r="B193" s="1" t="s">
        <v>759</v>
      </c>
      <c r="C193" s="2">
        <v>42655</v>
      </c>
      <c r="D193" s="2">
        <v>42657</v>
      </c>
      <c r="E193" s="1" t="s">
        <v>184</v>
      </c>
      <c r="F193" s="1" t="s">
        <v>760</v>
      </c>
      <c r="G193" s="1" t="s">
        <v>761</v>
      </c>
      <c r="H193" s="1" t="s">
        <v>99</v>
      </c>
      <c r="I193" s="1" t="s">
        <v>27</v>
      </c>
      <c r="J193" s="1" t="s">
        <v>262</v>
      </c>
      <c r="K193" s="1" t="s">
        <v>263</v>
      </c>
      <c r="L193">
        <v>10035</v>
      </c>
      <c r="M193" s="1" t="s">
        <v>10</v>
      </c>
      <c r="N193" s="1" t="s">
        <v>766</v>
      </c>
      <c r="O193" s="1" t="s">
        <v>43</v>
      </c>
      <c r="P193" s="1" t="s">
        <v>87</v>
      </c>
      <c r="Q193" s="1" t="s">
        <v>767</v>
      </c>
      <c r="R193">
        <v>51.84</v>
      </c>
    </row>
    <row r="194" spans="1:18" x14ac:dyDescent="0.3">
      <c r="A194">
        <v>193</v>
      </c>
      <c r="B194" s="1" t="s">
        <v>759</v>
      </c>
      <c r="C194" s="2">
        <v>42655</v>
      </c>
      <c r="D194" s="2">
        <v>42657</v>
      </c>
      <c r="E194" s="1" t="s">
        <v>184</v>
      </c>
      <c r="F194" s="1" t="s">
        <v>760</v>
      </c>
      <c r="G194" s="1" t="s">
        <v>761</v>
      </c>
      <c r="H194" s="1" t="s">
        <v>99</v>
      </c>
      <c r="I194" s="1" t="s">
        <v>27</v>
      </c>
      <c r="J194" s="1" t="s">
        <v>262</v>
      </c>
      <c r="K194" s="1" t="s">
        <v>263</v>
      </c>
      <c r="L194">
        <v>10035</v>
      </c>
      <c r="M194" s="1" t="s">
        <v>10</v>
      </c>
      <c r="N194" s="1" t="s">
        <v>197</v>
      </c>
      <c r="O194" s="1" t="s">
        <v>5</v>
      </c>
      <c r="P194" s="1" t="s">
        <v>31</v>
      </c>
      <c r="Q194" s="1" t="s">
        <v>198</v>
      </c>
      <c r="R194">
        <v>626.35199999999998</v>
      </c>
    </row>
    <row r="195" spans="1:18" x14ac:dyDescent="0.3">
      <c r="A195">
        <v>194</v>
      </c>
      <c r="B195" s="1" t="s">
        <v>759</v>
      </c>
      <c r="C195" s="2">
        <v>42655</v>
      </c>
      <c r="D195" s="2">
        <v>42657</v>
      </c>
      <c r="E195" s="1" t="s">
        <v>184</v>
      </c>
      <c r="F195" s="1" t="s">
        <v>760</v>
      </c>
      <c r="G195" s="1" t="s">
        <v>761</v>
      </c>
      <c r="H195" s="1" t="s">
        <v>99</v>
      </c>
      <c r="I195" s="1" t="s">
        <v>27</v>
      </c>
      <c r="J195" s="1" t="s">
        <v>262</v>
      </c>
      <c r="K195" s="1" t="s">
        <v>263</v>
      </c>
      <c r="L195">
        <v>10035</v>
      </c>
      <c r="M195" s="1" t="s">
        <v>10</v>
      </c>
      <c r="N195" s="1" t="s">
        <v>768</v>
      </c>
      <c r="O195" s="1" t="s">
        <v>43</v>
      </c>
      <c r="P195" s="1" t="s">
        <v>65</v>
      </c>
      <c r="Q195" s="1" t="s">
        <v>769</v>
      </c>
      <c r="R195">
        <v>19.899999999999999</v>
      </c>
    </row>
    <row r="196" spans="1:18" x14ac:dyDescent="0.3">
      <c r="A196">
        <v>195</v>
      </c>
      <c r="B196" s="1" t="s">
        <v>770</v>
      </c>
      <c r="C196" s="2">
        <v>42674</v>
      </c>
      <c r="D196" s="2">
        <v>42680</v>
      </c>
      <c r="E196" s="1" t="s">
        <v>47</v>
      </c>
      <c r="F196" s="1" t="s">
        <v>771</v>
      </c>
      <c r="G196" s="1" t="s">
        <v>772</v>
      </c>
      <c r="H196" s="1" t="s">
        <v>39</v>
      </c>
      <c r="I196" s="1" t="s">
        <v>27</v>
      </c>
      <c r="J196" s="1" t="s">
        <v>773</v>
      </c>
      <c r="K196" s="1" t="s">
        <v>41</v>
      </c>
      <c r="L196">
        <v>92374</v>
      </c>
      <c r="M196" s="1" t="s">
        <v>9</v>
      </c>
      <c r="N196" s="1" t="s">
        <v>168</v>
      </c>
      <c r="O196" s="1" t="s">
        <v>43</v>
      </c>
      <c r="P196" s="1" t="s">
        <v>169</v>
      </c>
      <c r="Q196" s="1" t="s">
        <v>170</v>
      </c>
      <c r="R196">
        <v>14.28</v>
      </c>
    </row>
    <row r="197" spans="1:18" x14ac:dyDescent="0.3">
      <c r="A197">
        <v>196</v>
      </c>
      <c r="B197" s="1" t="s">
        <v>774</v>
      </c>
      <c r="C197" s="2">
        <v>42084</v>
      </c>
      <c r="D197" s="2">
        <v>42088</v>
      </c>
      <c r="E197" s="1" t="s">
        <v>47</v>
      </c>
      <c r="F197" s="1" t="s">
        <v>775</v>
      </c>
      <c r="G197" s="1" t="s">
        <v>776</v>
      </c>
      <c r="H197" s="1" t="s">
        <v>26</v>
      </c>
      <c r="I197" s="1" t="s">
        <v>27</v>
      </c>
      <c r="J197" s="1" t="s">
        <v>777</v>
      </c>
      <c r="K197" s="1" t="s">
        <v>494</v>
      </c>
      <c r="L197">
        <v>45011</v>
      </c>
      <c r="M197" s="1" t="s">
        <v>10</v>
      </c>
      <c r="N197" s="1" t="s">
        <v>778</v>
      </c>
      <c r="O197" s="1" t="s">
        <v>43</v>
      </c>
      <c r="P197" s="1" t="s">
        <v>65</v>
      </c>
      <c r="Q197" s="1" t="s">
        <v>779</v>
      </c>
      <c r="R197">
        <v>7.4080000000000004</v>
      </c>
    </row>
    <row r="198" spans="1:18" x14ac:dyDescent="0.3">
      <c r="A198">
        <v>197</v>
      </c>
      <c r="B198" s="1" t="s">
        <v>774</v>
      </c>
      <c r="C198" s="2">
        <v>42084</v>
      </c>
      <c r="D198" s="2">
        <v>42088</v>
      </c>
      <c r="E198" s="1" t="s">
        <v>47</v>
      </c>
      <c r="F198" s="1" t="s">
        <v>775</v>
      </c>
      <c r="G198" s="1" t="s">
        <v>776</v>
      </c>
      <c r="H198" s="1" t="s">
        <v>26</v>
      </c>
      <c r="I198" s="1" t="s">
        <v>27</v>
      </c>
      <c r="J198" s="1" t="s">
        <v>777</v>
      </c>
      <c r="K198" s="1" t="s">
        <v>494</v>
      </c>
      <c r="L198">
        <v>45011</v>
      </c>
      <c r="M198" s="1" t="s">
        <v>10</v>
      </c>
      <c r="N198" s="1" t="s">
        <v>780</v>
      </c>
      <c r="O198" s="1" t="s">
        <v>43</v>
      </c>
      <c r="P198" s="1" t="s">
        <v>65</v>
      </c>
      <c r="Q198" s="1" t="s">
        <v>781</v>
      </c>
      <c r="R198">
        <v>6.048</v>
      </c>
    </row>
    <row r="199" spans="1:18" x14ac:dyDescent="0.3">
      <c r="A199">
        <v>198</v>
      </c>
      <c r="B199" s="1" t="s">
        <v>782</v>
      </c>
      <c r="C199" s="2">
        <v>43410</v>
      </c>
      <c r="D199" s="2">
        <v>43417</v>
      </c>
      <c r="E199" s="1" t="s">
        <v>47</v>
      </c>
      <c r="F199" s="1" t="s">
        <v>783</v>
      </c>
      <c r="G199" s="1" t="s">
        <v>784</v>
      </c>
      <c r="H199" s="1" t="s">
        <v>99</v>
      </c>
      <c r="I199" s="1" t="s">
        <v>27</v>
      </c>
      <c r="J199" s="1" t="s">
        <v>785</v>
      </c>
      <c r="K199" s="1" t="s">
        <v>786</v>
      </c>
      <c r="L199">
        <v>7090</v>
      </c>
      <c r="M199" s="1" t="s">
        <v>10</v>
      </c>
      <c r="N199" s="1" t="s">
        <v>787</v>
      </c>
      <c r="O199" s="1" t="s">
        <v>43</v>
      </c>
      <c r="P199" s="1" t="s">
        <v>56</v>
      </c>
      <c r="Q199" s="1" t="s">
        <v>788</v>
      </c>
      <c r="R199">
        <v>46.26</v>
      </c>
    </row>
    <row r="200" spans="1:18" x14ac:dyDescent="0.3">
      <c r="A200">
        <v>199</v>
      </c>
      <c r="B200" s="1" t="s">
        <v>789</v>
      </c>
      <c r="C200" s="2">
        <v>43287</v>
      </c>
      <c r="D200" s="2">
        <v>43294</v>
      </c>
      <c r="E200" s="1" t="s">
        <v>47</v>
      </c>
      <c r="F200" s="1" t="s">
        <v>790</v>
      </c>
      <c r="G200" s="1" t="s">
        <v>791</v>
      </c>
      <c r="H200" s="1" t="s">
        <v>39</v>
      </c>
      <c r="I200" s="1" t="s">
        <v>27</v>
      </c>
      <c r="J200" s="1" t="s">
        <v>143</v>
      </c>
      <c r="K200" s="1" t="s">
        <v>144</v>
      </c>
      <c r="L200">
        <v>19120</v>
      </c>
      <c r="M200" s="1" t="s">
        <v>10</v>
      </c>
      <c r="N200" s="1" t="s">
        <v>792</v>
      </c>
      <c r="O200" s="1" t="s">
        <v>43</v>
      </c>
      <c r="P200" s="1" t="s">
        <v>72</v>
      </c>
      <c r="Q200" s="1" t="s">
        <v>793</v>
      </c>
      <c r="R200">
        <v>2.9460000000000002</v>
      </c>
    </row>
    <row r="201" spans="1:18" x14ac:dyDescent="0.3">
      <c r="A201">
        <v>200</v>
      </c>
      <c r="B201" s="1" t="s">
        <v>789</v>
      </c>
      <c r="C201" s="2">
        <v>43287</v>
      </c>
      <c r="D201" s="2">
        <v>43294</v>
      </c>
      <c r="E201" s="1" t="s">
        <v>47</v>
      </c>
      <c r="F201" s="1" t="s">
        <v>790</v>
      </c>
      <c r="G201" s="1" t="s">
        <v>791</v>
      </c>
      <c r="H201" s="1" t="s">
        <v>39</v>
      </c>
      <c r="I201" s="1" t="s">
        <v>27</v>
      </c>
      <c r="J201" s="1" t="s">
        <v>143</v>
      </c>
      <c r="K201" s="1" t="s">
        <v>144</v>
      </c>
      <c r="L201">
        <v>19120</v>
      </c>
      <c r="M201" s="1" t="s">
        <v>10</v>
      </c>
      <c r="N201" s="1" t="s">
        <v>794</v>
      </c>
      <c r="O201" s="1" t="s">
        <v>43</v>
      </c>
      <c r="P201" s="1" t="s">
        <v>87</v>
      </c>
      <c r="Q201" s="1" t="s">
        <v>795</v>
      </c>
      <c r="R201">
        <v>16.056000000000001</v>
      </c>
    </row>
    <row r="202" spans="1:18" x14ac:dyDescent="0.3">
      <c r="A202">
        <v>201</v>
      </c>
      <c r="B202" s="1" t="s">
        <v>796</v>
      </c>
      <c r="C202" s="2">
        <v>43275</v>
      </c>
      <c r="D202" s="2">
        <v>43280</v>
      </c>
      <c r="E202" s="1" t="s">
        <v>47</v>
      </c>
      <c r="F202" s="1" t="s">
        <v>797</v>
      </c>
      <c r="G202" s="1" t="s">
        <v>798</v>
      </c>
      <c r="H202" s="1" t="s">
        <v>26</v>
      </c>
      <c r="I202" s="1" t="s">
        <v>27</v>
      </c>
      <c r="J202" s="1" t="s">
        <v>799</v>
      </c>
      <c r="K202" s="1" t="s">
        <v>494</v>
      </c>
      <c r="L202">
        <v>44312</v>
      </c>
      <c r="M202" s="1" t="s">
        <v>10</v>
      </c>
      <c r="N202" s="1" t="s">
        <v>800</v>
      </c>
      <c r="O202" s="1" t="s">
        <v>43</v>
      </c>
      <c r="P202" s="1" t="s">
        <v>87</v>
      </c>
      <c r="Q202" s="1" t="s">
        <v>801</v>
      </c>
      <c r="R202">
        <v>21.744</v>
      </c>
    </row>
    <row r="203" spans="1:18" x14ac:dyDescent="0.3">
      <c r="A203">
        <v>202</v>
      </c>
      <c r="B203" s="1" t="s">
        <v>802</v>
      </c>
      <c r="C203" s="2">
        <v>42219</v>
      </c>
      <c r="D203" s="2">
        <v>42221</v>
      </c>
      <c r="E203" s="1" t="s">
        <v>184</v>
      </c>
      <c r="F203" s="1" t="s">
        <v>803</v>
      </c>
      <c r="G203" s="1" t="s">
        <v>804</v>
      </c>
      <c r="H203" s="1" t="s">
        <v>26</v>
      </c>
      <c r="I203" s="1" t="s">
        <v>27</v>
      </c>
      <c r="J203" s="1" t="s">
        <v>805</v>
      </c>
      <c r="K203" s="1" t="s">
        <v>453</v>
      </c>
      <c r="L203">
        <v>80219</v>
      </c>
      <c r="M203" s="1" t="s">
        <v>9</v>
      </c>
      <c r="N203" s="1" t="s">
        <v>806</v>
      </c>
      <c r="O203" s="1" t="s">
        <v>5</v>
      </c>
      <c r="P203" s="1" t="s">
        <v>53</v>
      </c>
      <c r="Q203" s="1" t="s">
        <v>807</v>
      </c>
      <c r="R203">
        <v>218.75</v>
      </c>
    </row>
    <row r="204" spans="1:18" x14ac:dyDescent="0.3">
      <c r="A204">
        <v>203</v>
      </c>
      <c r="B204" s="1" t="s">
        <v>802</v>
      </c>
      <c r="C204" s="2">
        <v>42219</v>
      </c>
      <c r="D204" s="2">
        <v>42221</v>
      </c>
      <c r="E204" s="1" t="s">
        <v>184</v>
      </c>
      <c r="F204" s="1" t="s">
        <v>803</v>
      </c>
      <c r="G204" s="1" t="s">
        <v>804</v>
      </c>
      <c r="H204" s="1" t="s">
        <v>26</v>
      </c>
      <c r="I204" s="1" t="s">
        <v>27</v>
      </c>
      <c r="J204" s="1" t="s">
        <v>805</v>
      </c>
      <c r="K204" s="1" t="s">
        <v>453</v>
      </c>
      <c r="L204">
        <v>80219</v>
      </c>
      <c r="M204" s="1" t="s">
        <v>9</v>
      </c>
      <c r="N204" s="1" t="s">
        <v>808</v>
      </c>
      <c r="O204" s="1" t="s">
        <v>43</v>
      </c>
      <c r="P204" s="1" t="s">
        <v>75</v>
      </c>
      <c r="Q204" s="1" t="s">
        <v>809</v>
      </c>
      <c r="R204">
        <v>2.6</v>
      </c>
    </row>
    <row r="205" spans="1:18" x14ac:dyDescent="0.3">
      <c r="A205">
        <v>204</v>
      </c>
      <c r="B205" s="1" t="s">
        <v>810</v>
      </c>
      <c r="C205" s="2">
        <v>43451</v>
      </c>
      <c r="D205" s="2">
        <v>43455</v>
      </c>
      <c r="E205" s="1" t="s">
        <v>23</v>
      </c>
      <c r="F205" s="1" t="s">
        <v>811</v>
      </c>
      <c r="G205" s="1" t="s">
        <v>812</v>
      </c>
      <c r="H205" s="1" t="s">
        <v>26</v>
      </c>
      <c r="I205" s="1" t="s">
        <v>27</v>
      </c>
      <c r="J205" s="1" t="s">
        <v>813</v>
      </c>
      <c r="K205" s="1" t="s">
        <v>101</v>
      </c>
      <c r="L205">
        <v>75220</v>
      </c>
      <c r="M205" s="1" t="s">
        <v>102</v>
      </c>
      <c r="N205" s="1" t="s">
        <v>814</v>
      </c>
      <c r="O205" s="1" t="s">
        <v>43</v>
      </c>
      <c r="P205" s="1" t="s">
        <v>75</v>
      </c>
      <c r="Q205" s="1" t="s">
        <v>815</v>
      </c>
      <c r="R205">
        <v>66.284000000000006</v>
      </c>
    </row>
    <row r="206" spans="1:18" x14ac:dyDescent="0.3">
      <c r="A206">
        <v>205</v>
      </c>
      <c r="B206" s="1" t="s">
        <v>816</v>
      </c>
      <c r="C206" s="2">
        <v>43254</v>
      </c>
      <c r="D206" s="2">
        <v>43258</v>
      </c>
      <c r="E206" s="1" t="s">
        <v>47</v>
      </c>
      <c r="F206" s="1" t="s">
        <v>817</v>
      </c>
      <c r="G206" s="1" t="s">
        <v>818</v>
      </c>
      <c r="H206" s="1" t="s">
        <v>39</v>
      </c>
      <c r="I206" s="1" t="s">
        <v>27</v>
      </c>
      <c r="J206" s="1" t="s">
        <v>609</v>
      </c>
      <c r="K206" s="1" t="s">
        <v>331</v>
      </c>
      <c r="L206">
        <v>37064</v>
      </c>
      <c r="M206" s="1" t="s">
        <v>8</v>
      </c>
      <c r="N206" s="1" t="s">
        <v>819</v>
      </c>
      <c r="O206" s="1" t="s">
        <v>5</v>
      </c>
      <c r="P206" s="1" t="s">
        <v>62</v>
      </c>
      <c r="Q206" s="1" t="s">
        <v>820</v>
      </c>
      <c r="R206">
        <v>35.167999999999999</v>
      </c>
    </row>
    <row r="207" spans="1:18" x14ac:dyDescent="0.3">
      <c r="A207">
        <v>206</v>
      </c>
      <c r="B207" s="1" t="s">
        <v>821</v>
      </c>
      <c r="C207" s="2">
        <v>43443</v>
      </c>
      <c r="D207" s="2">
        <v>43448</v>
      </c>
      <c r="E207" s="1" t="s">
        <v>47</v>
      </c>
      <c r="F207" s="1" t="s">
        <v>822</v>
      </c>
      <c r="G207" s="1" t="s">
        <v>823</v>
      </c>
      <c r="H207" s="1" t="s">
        <v>26</v>
      </c>
      <c r="I207" s="1" t="s">
        <v>27</v>
      </c>
      <c r="J207" s="1" t="s">
        <v>824</v>
      </c>
      <c r="K207" s="1" t="s">
        <v>41</v>
      </c>
      <c r="L207">
        <v>90604</v>
      </c>
      <c r="M207" s="1" t="s">
        <v>9</v>
      </c>
      <c r="N207" s="1" t="s">
        <v>825</v>
      </c>
      <c r="O207" s="1" t="s">
        <v>68</v>
      </c>
      <c r="P207" s="1" t="s">
        <v>69</v>
      </c>
      <c r="Q207" s="1" t="s">
        <v>826</v>
      </c>
      <c r="R207">
        <v>444.76799999999997</v>
      </c>
    </row>
    <row r="208" spans="1:18" x14ac:dyDescent="0.3">
      <c r="A208">
        <v>207</v>
      </c>
      <c r="B208" s="1" t="s">
        <v>827</v>
      </c>
      <c r="C208" s="2">
        <v>43435</v>
      </c>
      <c r="D208" s="2">
        <v>43441</v>
      </c>
      <c r="E208" s="1" t="s">
        <v>47</v>
      </c>
      <c r="F208" s="1" t="s">
        <v>828</v>
      </c>
      <c r="G208" s="1" t="s">
        <v>829</v>
      </c>
      <c r="H208" s="1" t="s">
        <v>26</v>
      </c>
      <c r="I208" s="1" t="s">
        <v>27</v>
      </c>
      <c r="J208" s="1" t="s">
        <v>830</v>
      </c>
      <c r="K208" s="1" t="s">
        <v>234</v>
      </c>
      <c r="L208">
        <v>48601</v>
      </c>
      <c r="M208" s="1" t="s">
        <v>102</v>
      </c>
      <c r="N208" s="1" t="s">
        <v>831</v>
      </c>
      <c r="O208" s="1" t="s">
        <v>43</v>
      </c>
      <c r="P208" s="1" t="s">
        <v>56</v>
      </c>
      <c r="Q208" s="1" t="s">
        <v>832</v>
      </c>
      <c r="R208">
        <v>83.92</v>
      </c>
    </row>
    <row r="209" spans="1:18" x14ac:dyDescent="0.3">
      <c r="A209">
        <v>208</v>
      </c>
      <c r="B209" s="1" t="s">
        <v>827</v>
      </c>
      <c r="C209" s="2">
        <v>43435</v>
      </c>
      <c r="D209" s="2">
        <v>43441</v>
      </c>
      <c r="E209" s="1" t="s">
        <v>47</v>
      </c>
      <c r="F209" s="1" t="s">
        <v>828</v>
      </c>
      <c r="G209" s="1" t="s">
        <v>829</v>
      </c>
      <c r="H209" s="1" t="s">
        <v>26</v>
      </c>
      <c r="I209" s="1" t="s">
        <v>27</v>
      </c>
      <c r="J209" s="1" t="s">
        <v>830</v>
      </c>
      <c r="K209" s="1" t="s">
        <v>234</v>
      </c>
      <c r="L209">
        <v>48601</v>
      </c>
      <c r="M209" s="1" t="s">
        <v>102</v>
      </c>
      <c r="N209" s="1" t="s">
        <v>833</v>
      </c>
      <c r="O209" s="1" t="s">
        <v>68</v>
      </c>
      <c r="P209" s="1" t="s">
        <v>69</v>
      </c>
      <c r="Q209" s="1" t="s">
        <v>834</v>
      </c>
      <c r="R209">
        <v>131.97999999999999</v>
      </c>
    </row>
    <row r="210" spans="1:18" x14ac:dyDescent="0.3">
      <c r="A210">
        <v>209</v>
      </c>
      <c r="B210" s="1" t="s">
        <v>827</v>
      </c>
      <c r="C210" s="2">
        <v>43435</v>
      </c>
      <c r="D210" s="2">
        <v>43441</v>
      </c>
      <c r="E210" s="1" t="s">
        <v>47</v>
      </c>
      <c r="F210" s="1" t="s">
        <v>828</v>
      </c>
      <c r="G210" s="1" t="s">
        <v>829</v>
      </c>
      <c r="H210" s="1" t="s">
        <v>26</v>
      </c>
      <c r="I210" s="1" t="s">
        <v>27</v>
      </c>
      <c r="J210" s="1" t="s">
        <v>830</v>
      </c>
      <c r="K210" s="1" t="s">
        <v>234</v>
      </c>
      <c r="L210">
        <v>48601</v>
      </c>
      <c r="M210" s="1" t="s">
        <v>102</v>
      </c>
      <c r="N210" s="1" t="s">
        <v>541</v>
      </c>
      <c r="O210" s="1" t="s">
        <v>43</v>
      </c>
      <c r="P210" s="1" t="s">
        <v>72</v>
      </c>
      <c r="Q210" s="1" t="s">
        <v>542</v>
      </c>
      <c r="R210">
        <v>15.92</v>
      </c>
    </row>
    <row r="211" spans="1:18" x14ac:dyDescent="0.3">
      <c r="A211">
        <v>210</v>
      </c>
      <c r="B211" s="1" t="s">
        <v>827</v>
      </c>
      <c r="C211" s="2">
        <v>43435</v>
      </c>
      <c r="D211" s="2">
        <v>43441</v>
      </c>
      <c r="E211" s="1" t="s">
        <v>47</v>
      </c>
      <c r="F211" s="1" t="s">
        <v>828</v>
      </c>
      <c r="G211" s="1" t="s">
        <v>829</v>
      </c>
      <c r="H211" s="1" t="s">
        <v>26</v>
      </c>
      <c r="I211" s="1" t="s">
        <v>27</v>
      </c>
      <c r="J211" s="1" t="s">
        <v>830</v>
      </c>
      <c r="K211" s="1" t="s">
        <v>234</v>
      </c>
      <c r="L211">
        <v>48601</v>
      </c>
      <c r="M211" s="1" t="s">
        <v>102</v>
      </c>
      <c r="N211" s="1" t="s">
        <v>835</v>
      </c>
      <c r="O211" s="1" t="s">
        <v>43</v>
      </c>
      <c r="P211" s="1" t="s">
        <v>265</v>
      </c>
      <c r="Q211" s="1" t="s">
        <v>836</v>
      </c>
      <c r="R211">
        <v>52.29</v>
      </c>
    </row>
    <row r="212" spans="1:18" x14ac:dyDescent="0.3">
      <c r="A212">
        <v>211</v>
      </c>
      <c r="B212" s="1" t="s">
        <v>827</v>
      </c>
      <c r="C212" s="2">
        <v>43435</v>
      </c>
      <c r="D212" s="2">
        <v>43441</v>
      </c>
      <c r="E212" s="1" t="s">
        <v>47</v>
      </c>
      <c r="F212" s="1" t="s">
        <v>828</v>
      </c>
      <c r="G212" s="1" t="s">
        <v>829</v>
      </c>
      <c r="H212" s="1" t="s">
        <v>26</v>
      </c>
      <c r="I212" s="1" t="s">
        <v>27</v>
      </c>
      <c r="J212" s="1" t="s">
        <v>830</v>
      </c>
      <c r="K212" s="1" t="s">
        <v>234</v>
      </c>
      <c r="L212">
        <v>48601</v>
      </c>
      <c r="M212" s="1" t="s">
        <v>102</v>
      </c>
      <c r="N212" s="1" t="s">
        <v>837</v>
      </c>
      <c r="O212" s="1" t="s">
        <v>43</v>
      </c>
      <c r="P212" s="1" t="s">
        <v>56</v>
      </c>
      <c r="Q212" s="1" t="s">
        <v>838</v>
      </c>
      <c r="R212">
        <v>91.99</v>
      </c>
    </row>
    <row r="213" spans="1:18" x14ac:dyDescent="0.3">
      <c r="A213">
        <v>212</v>
      </c>
      <c r="B213" s="1" t="s">
        <v>839</v>
      </c>
      <c r="C213" s="2">
        <v>42409</v>
      </c>
      <c r="D213" s="2">
        <v>42413</v>
      </c>
      <c r="E213" s="1" t="s">
        <v>23</v>
      </c>
      <c r="F213" s="1" t="s">
        <v>840</v>
      </c>
      <c r="G213" s="1" t="s">
        <v>841</v>
      </c>
      <c r="H213" s="1" t="s">
        <v>39</v>
      </c>
      <c r="I213" s="1" t="s">
        <v>27</v>
      </c>
      <c r="J213" s="1" t="s">
        <v>813</v>
      </c>
      <c r="K213" s="1" t="s">
        <v>101</v>
      </c>
      <c r="L213">
        <v>75220</v>
      </c>
      <c r="M213" s="1" t="s">
        <v>102</v>
      </c>
      <c r="N213" s="1" t="s">
        <v>842</v>
      </c>
      <c r="O213" s="1" t="s">
        <v>68</v>
      </c>
      <c r="P213" s="1" t="s">
        <v>157</v>
      </c>
      <c r="Q213" s="1" t="s">
        <v>843</v>
      </c>
      <c r="R213">
        <v>20.8</v>
      </c>
    </row>
    <row r="214" spans="1:18" x14ac:dyDescent="0.3">
      <c r="A214">
        <v>213</v>
      </c>
      <c r="B214" s="1" t="s">
        <v>844</v>
      </c>
      <c r="C214" s="2">
        <v>42371</v>
      </c>
      <c r="D214" s="2">
        <v>42378</v>
      </c>
      <c r="E214" s="1" t="s">
        <v>47</v>
      </c>
      <c r="F214" s="1" t="s">
        <v>845</v>
      </c>
      <c r="G214" s="1" t="s">
        <v>846</v>
      </c>
      <c r="H214" s="1" t="s">
        <v>39</v>
      </c>
      <c r="I214" s="1" t="s">
        <v>27</v>
      </c>
      <c r="J214" s="1" t="s">
        <v>847</v>
      </c>
      <c r="K214" s="1" t="s">
        <v>494</v>
      </c>
      <c r="L214">
        <v>44256</v>
      </c>
      <c r="M214" s="1" t="s">
        <v>10</v>
      </c>
      <c r="N214" s="1" t="s">
        <v>848</v>
      </c>
      <c r="O214" s="1" t="s">
        <v>43</v>
      </c>
      <c r="P214" s="1" t="s">
        <v>44</v>
      </c>
      <c r="Q214" s="1" t="s">
        <v>849</v>
      </c>
      <c r="R214">
        <v>23.68</v>
      </c>
    </row>
    <row r="215" spans="1:18" x14ac:dyDescent="0.3">
      <c r="A215">
        <v>214</v>
      </c>
      <c r="B215" s="1" t="s">
        <v>844</v>
      </c>
      <c r="C215" s="2">
        <v>42371</v>
      </c>
      <c r="D215" s="2">
        <v>42378</v>
      </c>
      <c r="E215" s="1" t="s">
        <v>47</v>
      </c>
      <c r="F215" s="1" t="s">
        <v>845</v>
      </c>
      <c r="G215" s="1" t="s">
        <v>846</v>
      </c>
      <c r="H215" s="1" t="s">
        <v>39</v>
      </c>
      <c r="I215" s="1" t="s">
        <v>27</v>
      </c>
      <c r="J215" s="1" t="s">
        <v>847</v>
      </c>
      <c r="K215" s="1" t="s">
        <v>494</v>
      </c>
      <c r="L215">
        <v>44256</v>
      </c>
      <c r="M215" s="1" t="s">
        <v>10</v>
      </c>
      <c r="N215" s="1" t="s">
        <v>850</v>
      </c>
      <c r="O215" s="1" t="s">
        <v>5</v>
      </c>
      <c r="P215" s="1" t="s">
        <v>31</v>
      </c>
      <c r="Q215" s="1" t="s">
        <v>851</v>
      </c>
      <c r="R215">
        <v>452.45</v>
      </c>
    </row>
    <row r="216" spans="1:18" x14ac:dyDescent="0.3">
      <c r="A216">
        <v>215</v>
      </c>
      <c r="B216" s="1" t="s">
        <v>844</v>
      </c>
      <c r="C216" s="2">
        <v>42371</v>
      </c>
      <c r="D216" s="2">
        <v>42378</v>
      </c>
      <c r="E216" s="1" t="s">
        <v>47</v>
      </c>
      <c r="F216" s="1" t="s">
        <v>845</v>
      </c>
      <c r="G216" s="1" t="s">
        <v>846</v>
      </c>
      <c r="H216" s="1" t="s">
        <v>39</v>
      </c>
      <c r="I216" s="1" t="s">
        <v>27</v>
      </c>
      <c r="J216" s="1" t="s">
        <v>847</v>
      </c>
      <c r="K216" s="1" t="s">
        <v>494</v>
      </c>
      <c r="L216">
        <v>44256</v>
      </c>
      <c r="M216" s="1" t="s">
        <v>10</v>
      </c>
      <c r="N216" s="1" t="s">
        <v>466</v>
      </c>
      <c r="O216" s="1" t="s">
        <v>68</v>
      </c>
      <c r="P216" s="1" t="s">
        <v>69</v>
      </c>
      <c r="Q216" s="1" t="s">
        <v>467</v>
      </c>
      <c r="R216">
        <v>62.981999999999999</v>
      </c>
    </row>
    <row r="217" spans="1:18" x14ac:dyDescent="0.3">
      <c r="A217">
        <v>216</v>
      </c>
      <c r="B217" s="1" t="s">
        <v>844</v>
      </c>
      <c r="C217" s="2">
        <v>42371</v>
      </c>
      <c r="D217" s="2">
        <v>42378</v>
      </c>
      <c r="E217" s="1" t="s">
        <v>47</v>
      </c>
      <c r="F217" s="1" t="s">
        <v>845</v>
      </c>
      <c r="G217" s="1" t="s">
        <v>846</v>
      </c>
      <c r="H217" s="1" t="s">
        <v>39</v>
      </c>
      <c r="I217" s="1" t="s">
        <v>27</v>
      </c>
      <c r="J217" s="1" t="s">
        <v>847</v>
      </c>
      <c r="K217" s="1" t="s">
        <v>494</v>
      </c>
      <c r="L217">
        <v>44256</v>
      </c>
      <c r="M217" s="1" t="s">
        <v>10</v>
      </c>
      <c r="N217" s="1" t="s">
        <v>852</v>
      </c>
      <c r="O217" s="1" t="s">
        <v>68</v>
      </c>
      <c r="P217" s="1" t="s">
        <v>680</v>
      </c>
      <c r="Q217" s="1" t="s">
        <v>853</v>
      </c>
      <c r="R217">
        <v>1188</v>
      </c>
    </row>
    <row r="218" spans="1:18" x14ac:dyDescent="0.3">
      <c r="A218">
        <v>217</v>
      </c>
      <c r="B218" s="1" t="s">
        <v>844</v>
      </c>
      <c r="C218" s="2">
        <v>42371</v>
      </c>
      <c r="D218" s="2">
        <v>42378</v>
      </c>
      <c r="E218" s="1" t="s">
        <v>47</v>
      </c>
      <c r="F218" s="1" t="s">
        <v>845</v>
      </c>
      <c r="G218" s="1" t="s">
        <v>846</v>
      </c>
      <c r="H218" s="1" t="s">
        <v>39</v>
      </c>
      <c r="I218" s="1" t="s">
        <v>27</v>
      </c>
      <c r="J218" s="1" t="s">
        <v>847</v>
      </c>
      <c r="K218" s="1" t="s">
        <v>494</v>
      </c>
      <c r="L218">
        <v>44256</v>
      </c>
      <c r="M218" s="1" t="s">
        <v>10</v>
      </c>
      <c r="N218" s="1" t="s">
        <v>854</v>
      </c>
      <c r="O218" s="1" t="s">
        <v>68</v>
      </c>
      <c r="P218" s="1" t="s">
        <v>157</v>
      </c>
      <c r="Q218" s="1" t="s">
        <v>855</v>
      </c>
      <c r="R218">
        <v>89.584000000000003</v>
      </c>
    </row>
    <row r="219" spans="1:18" x14ac:dyDescent="0.3">
      <c r="A219">
        <v>218</v>
      </c>
      <c r="B219" s="1" t="s">
        <v>856</v>
      </c>
      <c r="C219" s="2">
        <v>43036</v>
      </c>
      <c r="D219" s="2">
        <v>43040</v>
      </c>
      <c r="E219" s="1" t="s">
        <v>47</v>
      </c>
      <c r="F219" s="1" t="s">
        <v>857</v>
      </c>
      <c r="G219" s="1" t="s">
        <v>858</v>
      </c>
      <c r="H219" s="1" t="s">
        <v>26</v>
      </c>
      <c r="I219" s="1" t="s">
        <v>27</v>
      </c>
      <c r="J219" s="1" t="s">
        <v>40</v>
      </c>
      <c r="K219" s="1" t="s">
        <v>41</v>
      </c>
      <c r="L219">
        <v>90032</v>
      </c>
      <c r="M219" s="1" t="s">
        <v>9</v>
      </c>
      <c r="N219" s="1" t="s">
        <v>757</v>
      </c>
      <c r="O219" s="1" t="s">
        <v>43</v>
      </c>
      <c r="P219" s="1" t="s">
        <v>56</v>
      </c>
      <c r="Q219" s="1" t="s">
        <v>758</v>
      </c>
      <c r="R219">
        <v>93.06</v>
      </c>
    </row>
    <row r="220" spans="1:18" x14ac:dyDescent="0.3">
      <c r="A220">
        <v>219</v>
      </c>
      <c r="B220" s="1" t="s">
        <v>856</v>
      </c>
      <c r="C220" s="2">
        <v>43036</v>
      </c>
      <c r="D220" s="2">
        <v>43040</v>
      </c>
      <c r="E220" s="1" t="s">
        <v>47</v>
      </c>
      <c r="F220" s="1" t="s">
        <v>857</v>
      </c>
      <c r="G220" s="1" t="s">
        <v>858</v>
      </c>
      <c r="H220" s="1" t="s">
        <v>26</v>
      </c>
      <c r="I220" s="1" t="s">
        <v>27</v>
      </c>
      <c r="J220" s="1" t="s">
        <v>40</v>
      </c>
      <c r="K220" s="1" t="s">
        <v>41</v>
      </c>
      <c r="L220">
        <v>90032</v>
      </c>
      <c r="M220" s="1" t="s">
        <v>9</v>
      </c>
      <c r="N220" s="1" t="s">
        <v>859</v>
      </c>
      <c r="O220" s="1" t="s">
        <v>68</v>
      </c>
      <c r="P220" s="1" t="s">
        <v>69</v>
      </c>
      <c r="Q220" s="1" t="s">
        <v>860</v>
      </c>
      <c r="R220">
        <v>302.37599999999998</v>
      </c>
    </row>
    <row r="221" spans="1:18" x14ac:dyDescent="0.3">
      <c r="A221">
        <v>220</v>
      </c>
      <c r="B221" s="1" t="s">
        <v>861</v>
      </c>
      <c r="C221" s="2">
        <v>42728</v>
      </c>
      <c r="D221" s="2">
        <v>42731</v>
      </c>
      <c r="E221" s="1" t="s">
        <v>184</v>
      </c>
      <c r="F221" s="1" t="s">
        <v>862</v>
      </c>
      <c r="G221" s="1" t="s">
        <v>863</v>
      </c>
      <c r="H221" s="1" t="s">
        <v>26</v>
      </c>
      <c r="I221" s="1" t="s">
        <v>27</v>
      </c>
      <c r="J221" s="1" t="s">
        <v>864</v>
      </c>
      <c r="K221" s="1" t="s">
        <v>494</v>
      </c>
      <c r="L221">
        <v>43017</v>
      </c>
      <c r="M221" s="1" t="s">
        <v>10</v>
      </c>
      <c r="N221" s="1" t="s">
        <v>865</v>
      </c>
      <c r="O221" s="1" t="s">
        <v>43</v>
      </c>
      <c r="P221" s="1" t="s">
        <v>265</v>
      </c>
      <c r="Q221" s="1" t="s">
        <v>866</v>
      </c>
      <c r="R221">
        <v>5.5839999999999996</v>
      </c>
    </row>
    <row r="222" spans="1:18" x14ac:dyDescent="0.3">
      <c r="A222">
        <v>221</v>
      </c>
      <c r="B222" s="1" t="s">
        <v>861</v>
      </c>
      <c r="C222" s="2">
        <v>42728</v>
      </c>
      <c r="D222" s="2">
        <v>42731</v>
      </c>
      <c r="E222" s="1" t="s">
        <v>184</v>
      </c>
      <c r="F222" s="1" t="s">
        <v>862</v>
      </c>
      <c r="G222" s="1" t="s">
        <v>863</v>
      </c>
      <c r="H222" s="1" t="s">
        <v>26</v>
      </c>
      <c r="I222" s="1" t="s">
        <v>27</v>
      </c>
      <c r="J222" s="1" t="s">
        <v>864</v>
      </c>
      <c r="K222" s="1" t="s">
        <v>494</v>
      </c>
      <c r="L222">
        <v>43017</v>
      </c>
      <c r="M222" s="1" t="s">
        <v>10</v>
      </c>
      <c r="N222" s="1" t="s">
        <v>867</v>
      </c>
      <c r="O222" s="1" t="s">
        <v>43</v>
      </c>
      <c r="P222" s="1" t="s">
        <v>87</v>
      </c>
      <c r="Q222" s="1" t="s">
        <v>868</v>
      </c>
      <c r="R222">
        <v>22.704000000000001</v>
      </c>
    </row>
    <row r="223" spans="1:18" x14ac:dyDescent="0.3">
      <c r="A223">
        <v>222</v>
      </c>
      <c r="B223" s="1" t="s">
        <v>861</v>
      </c>
      <c r="C223" s="2">
        <v>42728</v>
      </c>
      <c r="D223" s="2">
        <v>42731</v>
      </c>
      <c r="E223" s="1" t="s">
        <v>184</v>
      </c>
      <c r="F223" s="1" t="s">
        <v>862</v>
      </c>
      <c r="G223" s="1" t="s">
        <v>863</v>
      </c>
      <c r="H223" s="1" t="s">
        <v>26</v>
      </c>
      <c r="I223" s="1" t="s">
        <v>27</v>
      </c>
      <c r="J223" s="1" t="s">
        <v>864</v>
      </c>
      <c r="K223" s="1" t="s">
        <v>494</v>
      </c>
      <c r="L223">
        <v>43017</v>
      </c>
      <c r="M223" s="1" t="s">
        <v>10</v>
      </c>
      <c r="N223" s="1" t="s">
        <v>410</v>
      </c>
      <c r="O223" s="1" t="s">
        <v>43</v>
      </c>
      <c r="P223" s="1" t="s">
        <v>72</v>
      </c>
      <c r="Q223" s="1" t="s">
        <v>411</v>
      </c>
      <c r="R223">
        <v>19.776</v>
      </c>
    </row>
    <row r="224" spans="1:18" x14ac:dyDescent="0.3">
      <c r="A224">
        <v>223</v>
      </c>
      <c r="B224" s="1" t="s">
        <v>861</v>
      </c>
      <c r="C224" s="2">
        <v>42728</v>
      </c>
      <c r="D224" s="2">
        <v>42731</v>
      </c>
      <c r="E224" s="1" t="s">
        <v>184</v>
      </c>
      <c r="F224" s="1" t="s">
        <v>862</v>
      </c>
      <c r="G224" s="1" t="s">
        <v>863</v>
      </c>
      <c r="H224" s="1" t="s">
        <v>26</v>
      </c>
      <c r="I224" s="1" t="s">
        <v>27</v>
      </c>
      <c r="J224" s="1" t="s">
        <v>864</v>
      </c>
      <c r="K224" s="1" t="s">
        <v>494</v>
      </c>
      <c r="L224">
        <v>43017</v>
      </c>
      <c r="M224" s="1" t="s">
        <v>10</v>
      </c>
      <c r="N224" s="1" t="s">
        <v>869</v>
      </c>
      <c r="O224" s="1" t="s">
        <v>5</v>
      </c>
      <c r="P224" s="1" t="s">
        <v>62</v>
      </c>
      <c r="Q224" s="1" t="s">
        <v>870</v>
      </c>
      <c r="R224">
        <v>72.703999999999994</v>
      </c>
    </row>
    <row r="225" spans="1:18" x14ac:dyDescent="0.3">
      <c r="A225">
        <v>224</v>
      </c>
      <c r="B225" s="1" t="s">
        <v>861</v>
      </c>
      <c r="C225" s="2">
        <v>42728</v>
      </c>
      <c r="D225" s="2">
        <v>42731</v>
      </c>
      <c r="E225" s="1" t="s">
        <v>184</v>
      </c>
      <c r="F225" s="1" t="s">
        <v>862</v>
      </c>
      <c r="G225" s="1" t="s">
        <v>863</v>
      </c>
      <c r="H225" s="1" t="s">
        <v>26</v>
      </c>
      <c r="I225" s="1" t="s">
        <v>27</v>
      </c>
      <c r="J225" s="1" t="s">
        <v>864</v>
      </c>
      <c r="K225" s="1" t="s">
        <v>494</v>
      </c>
      <c r="L225">
        <v>43017</v>
      </c>
      <c r="M225" s="1" t="s">
        <v>10</v>
      </c>
      <c r="N225" s="1" t="s">
        <v>871</v>
      </c>
      <c r="O225" s="1" t="s">
        <v>68</v>
      </c>
      <c r="P225" s="1" t="s">
        <v>680</v>
      </c>
      <c r="Q225" s="1" t="s">
        <v>872</v>
      </c>
      <c r="R225">
        <v>479.988</v>
      </c>
    </row>
    <row r="226" spans="1:18" x14ac:dyDescent="0.3">
      <c r="A226">
        <v>225</v>
      </c>
      <c r="B226" s="1" t="s">
        <v>861</v>
      </c>
      <c r="C226" s="2">
        <v>42728</v>
      </c>
      <c r="D226" s="2">
        <v>42731</v>
      </c>
      <c r="E226" s="1" t="s">
        <v>184</v>
      </c>
      <c r="F226" s="1" t="s">
        <v>862</v>
      </c>
      <c r="G226" s="1" t="s">
        <v>863</v>
      </c>
      <c r="H226" s="1" t="s">
        <v>26</v>
      </c>
      <c r="I226" s="1" t="s">
        <v>27</v>
      </c>
      <c r="J226" s="1" t="s">
        <v>864</v>
      </c>
      <c r="K226" s="1" t="s">
        <v>494</v>
      </c>
      <c r="L226">
        <v>43017</v>
      </c>
      <c r="M226" s="1" t="s">
        <v>10</v>
      </c>
      <c r="N226" s="1" t="s">
        <v>873</v>
      </c>
      <c r="O226" s="1" t="s">
        <v>43</v>
      </c>
      <c r="P226" s="1" t="s">
        <v>65</v>
      </c>
      <c r="Q226" s="1" t="s">
        <v>874</v>
      </c>
      <c r="R226">
        <v>27.167999999999999</v>
      </c>
    </row>
    <row r="227" spans="1:18" x14ac:dyDescent="0.3">
      <c r="A227">
        <v>226</v>
      </c>
      <c r="B227" s="1" t="s">
        <v>875</v>
      </c>
      <c r="C227" s="2">
        <v>42591</v>
      </c>
      <c r="D227" s="2">
        <v>42598</v>
      </c>
      <c r="E227" s="1" t="s">
        <v>47</v>
      </c>
      <c r="F227" s="1" t="s">
        <v>876</v>
      </c>
      <c r="G227" s="1" t="s">
        <v>877</v>
      </c>
      <c r="H227" s="1" t="s">
        <v>39</v>
      </c>
      <c r="I227" s="1" t="s">
        <v>27</v>
      </c>
      <c r="J227" s="1" t="s">
        <v>878</v>
      </c>
      <c r="K227" s="1" t="s">
        <v>234</v>
      </c>
      <c r="L227">
        <v>48227</v>
      </c>
      <c r="M227" s="1" t="s">
        <v>102</v>
      </c>
      <c r="N227" s="1" t="s">
        <v>879</v>
      </c>
      <c r="O227" s="1" t="s">
        <v>43</v>
      </c>
      <c r="P227" s="1" t="s">
        <v>65</v>
      </c>
      <c r="Q227" s="1" t="s">
        <v>880</v>
      </c>
      <c r="R227">
        <v>2.2000000000000002</v>
      </c>
    </row>
    <row r="228" spans="1:18" x14ac:dyDescent="0.3">
      <c r="A228">
        <v>227</v>
      </c>
      <c r="B228" s="1" t="s">
        <v>875</v>
      </c>
      <c r="C228" s="2">
        <v>42591</v>
      </c>
      <c r="D228" s="2">
        <v>42598</v>
      </c>
      <c r="E228" s="1" t="s">
        <v>47</v>
      </c>
      <c r="F228" s="1" t="s">
        <v>876</v>
      </c>
      <c r="G228" s="1" t="s">
        <v>877</v>
      </c>
      <c r="H228" s="1" t="s">
        <v>39</v>
      </c>
      <c r="I228" s="1" t="s">
        <v>27</v>
      </c>
      <c r="J228" s="1" t="s">
        <v>878</v>
      </c>
      <c r="K228" s="1" t="s">
        <v>234</v>
      </c>
      <c r="L228">
        <v>48227</v>
      </c>
      <c r="M228" s="1" t="s">
        <v>102</v>
      </c>
      <c r="N228" s="1" t="s">
        <v>881</v>
      </c>
      <c r="O228" s="1" t="s">
        <v>5</v>
      </c>
      <c r="P228" s="1" t="s">
        <v>53</v>
      </c>
      <c r="Q228" s="1" t="s">
        <v>882</v>
      </c>
      <c r="R228">
        <v>622.45000000000005</v>
      </c>
    </row>
    <row r="229" spans="1:18" x14ac:dyDescent="0.3">
      <c r="A229">
        <v>228</v>
      </c>
      <c r="B229" s="1" t="s">
        <v>875</v>
      </c>
      <c r="C229" s="2">
        <v>42591</v>
      </c>
      <c r="D229" s="2">
        <v>42598</v>
      </c>
      <c r="E229" s="1" t="s">
        <v>47</v>
      </c>
      <c r="F229" s="1" t="s">
        <v>876</v>
      </c>
      <c r="G229" s="1" t="s">
        <v>877</v>
      </c>
      <c r="H229" s="1" t="s">
        <v>39</v>
      </c>
      <c r="I229" s="1" t="s">
        <v>27</v>
      </c>
      <c r="J229" s="1" t="s">
        <v>878</v>
      </c>
      <c r="K229" s="1" t="s">
        <v>234</v>
      </c>
      <c r="L229">
        <v>48227</v>
      </c>
      <c r="M229" s="1" t="s">
        <v>102</v>
      </c>
      <c r="N229" s="1" t="s">
        <v>883</v>
      </c>
      <c r="O229" s="1" t="s">
        <v>43</v>
      </c>
      <c r="P229" s="1" t="s">
        <v>56</v>
      </c>
      <c r="Q229" s="1" t="s">
        <v>884</v>
      </c>
      <c r="R229">
        <v>21.98</v>
      </c>
    </row>
    <row r="230" spans="1:18" x14ac:dyDescent="0.3">
      <c r="A230">
        <v>229</v>
      </c>
      <c r="B230" s="1" t="s">
        <v>885</v>
      </c>
      <c r="C230" s="2">
        <v>42428</v>
      </c>
      <c r="D230" s="2">
        <v>42433</v>
      </c>
      <c r="E230" s="1" t="s">
        <v>47</v>
      </c>
      <c r="F230" s="1" t="s">
        <v>886</v>
      </c>
      <c r="G230" s="1" t="s">
        <v>887</v>
      </c>
      <c r="H230" s="1" t="s">
        <v>26</v>
      </c>
      <c r="I230" s="1" t="s">
        <v>27</v>
      </c>
      <c r="J230" s="1" t="s">
        <v>378</v>
      </c>
      <c r="K230" s="1" t="s">
        <v>331</v>
      </c>
      <c r="L230">
        <v>38401</v>
      </c>
      <c r="M230" s="1" t="s">
        <v>8</v>
      </c>
      <c r="N230" s="1" t="s">
        <v>888</v>
      </c>
      <c r="O230" s="1" t="s">
        <v>5</v>
      </c>
      <c r="P230" s="1" t="s">
        <v>34</v>
      </c>
      <c r="Q230" s="1" t="s">
        <v>889</v>
      </c>
      <c r="R230">
        <v>161.56800000000001</v>
      </c>
    </row>
    <row r="231" spans="1:18" x14ac:dyDescent="0.3">
      <c r="A231">
        <v>230</v>
      </c>
      <c r="B231" s="1" t="s">
        <v>885</v>
      </c>
      <c r="C231" s="2">
        <v>42428</v>
      </c>
      <c r="D231" s="2">
        <v>42433</v>
      </c>
      <c r="E231" s="1" t="s">
        <v>47</v>
      </c>
      <c r="F231" s="1" t="s">
        <v>886</v>
      </c>
      <c r="G231" s="1" t="s">
        <v>887</v>
      </c>
      <c r="H231" s="1" t="s">
        <v>26</v>
      </c>
      <c r="I231" s="1" t="s">
        <v>27</v>
      </c>
      <c r="J231" s="1" t="s">
        <v>378</v>
      </c>
      <c r="K231" s="1" t="s">
        <v>331</v>
      </c>
      <c r="L231">
        <v>38401</v>
      </c>
      <c r="M231" s="1" t="s">
        <v>8</v>
      </c>
      <c r="N231" s="1" t="s">
        <v>890</v>
      </c>
      <c r="O231" s="1" t="s">
        <v>5</v>
      </c>
      <c r="P231" s="1" t="s">
        <v>34</v>
      </c>
      <c r="Q231" s="1" t="s">
        <v>891</v>
      </c>
      <c r="R231">
        <v>389.69600000000003</v>
      </c>
    </row>
    <row r="232" spans="1:18" x14ac:dyDescent="0.3">
      <c r="A232">
        <v>231</v>
      </c>
      <c r="B232" s="1" t="s">
        <v>892</v>
      </c>
      <c r="C232" s="2">
        <v>42260</v>
      </c>
      <c r="D232" s="2">
        <v>42264</v>
      </c>
      <c r="E232" s="1" t="s">
        <v>47</v>
      </c>
      <c r="F232" s="1" t="s">
        <v>893</v>
      </c>
      <c r="G232" s="1" t="s">
        <v>894</v>
      </c>
      <c r="H232" s="1" t="s">
        <v>39</v>
      </c>
      <c r="I232" s="1" t="s">
        <v>27</v>
      </c>
      <c r="J232" s="1" t="s">
        <v>463</v>
      </c>
      <c r="K232" s="1" t="s">
        <v>85</v>
      </c>
      <c r="L232">
        <v>28205</v>
      </c>
      <c r="M232" s="1" t="s">
        <v>8</v>
      </c>
      <c r="N232" s="1" t="s">
        <v>895</v>
      </c>
      <c r="O232" s="1" t="s">
        <v>43</v>
      </c>
      <c r="P232" s="1" t="s">
        <v>72</v>
      </c>
      <c r="Q232" s="1" t="s">
        <v>896</v>
      </c>
      <c r="R232">
        <v>18.648</v>
      </c>
    </row>
    <row r="233" spans="1:18" x14ac:dyDescent="0.3">
      <c r="A233">
        <v>232</v>
      </c>
      <c r="B233" s="1" t="s">
        <v>897</v>
      </c>
      <c r="C233" s="2">
        <v>43197</v>
      </c>
      <c r="D233" s="2">
        <v>43202</v>
      </c>
      <c r="E233" s="1" t="s">
        <v>47</v>
      </c>
      <c r="F233" s="1" t="s">
        <v>373</v>
      </c>
      <c r="G233" s="1" t="s">
        <v>374</v>
      </c>
      <c r="H233" s="1" t="s">
        <v>99</v>
      </c>
      <c r="I233" s="1" t="s">
        <v>27</v>
      </c>
      <c r="J233" s="1" t="s">
        <v>898</v>
      </c>
      <c r="K233" s="1" t="s">
        <v>51</v>
      </c>
      <c r="L233">
        <v>33614</v>
      </c>
      <c r="M233" s="1" t="s">
        <v>8</v>
      </c>
      <c r="N233" s="1" t="s">
        <v>899</v>
      </c>
      <c r="O233" s="1" t="s">
        <v>5</v>
      </c>
      <c r="P233" s="1" t="s">
        <v>53</v>
      </c>
      <c r="Q233" s="1" t="s">
        <v>900</v>
      </c>
      <c r="R233">
        <v>233.86</v>
      </c>
    </row>
    <row r="234" spans="1:18" x14ac:dyDescent="0.3">
      <c r="A234">
        <v>233</v>
      </c>
      <c r="B234" s="1" t="s">
        <v>897</v>
      </c>
      <c r="C234" s="2">
        <v>43197</v>
      </c>
      <c r="D234" s="2">
        <v>43202</v>
      </c>
      <c r="E234" s="1" t="s">
        <v>47</v>
      </c>
      <c r="F234" s="1" t="s">
        <v>373</v>
      </c>
      <c r="G234" s="1" t="s">
        <v>374</v>
      </c>
      <c r="H234" s="1" t="s">
        <v>99</v>
      </c>
      <c r="I234" s="1" t="s">
        <v>27</v>
      </c>
      <c r="J234" s="1" t="s">
        <v>898</v>
      </c>
      <c r="K234" s="1" t="s">
        <v>51</v>
      </c>
      <c r="L234">
        <v>33614</v>
      </c>
      <c r="M234" s="1" t="s">
        <v>8</v>
      </c>
      <c r="N234" s="1" t="s">
        <v>901</v>
      </c>
      <c r="O234" s="1" t="s">
        <v>5</v>
      </c>
      <c r="P234" s="1" t="s">
        <v>53</v>
      </c>
      <c r="Q234" s="1" t="s">
        <v>902</v>
      </c>
      <c r="R234">
        <v>620.61450000000002</v>
      </c>
    </row>
    <row r="235" spans="1:18" x14ac:dyDescent="0.3">
      <c r="A235">
        <v>234</v>
      </c>
      <c r="B235" s="1" t="s">
        <v>897</v>
      </c>
      <c r="C235" s="2">
        <v>43197</v>
      </c>
      <c r="D235" s="2">
        <v>43202</v>
      </c>
      <c r="E235" s="1" t="s">
        <v>47</v>
      </c>
      <c r="F235" s="1" t="s">
        <v>373</v>
      </c>
      <c r="G235" s="1" t="s">
        <v>374</v>
      </c>
      <c r="H235" s="1" t="s">
        <v>99</v>
      </c>
      <c r="I235" s="1" t="s">
        <v>27</v>
      </c>
      <c r="J235" s="1" t="s">
        <v>898</v>
      </c>
      <c r="K235" s="1" t="s">
        <v>51</v>
      </c>
      <c r="L235">
        <v>33614</v>
      </c>
      <c r="M235" s="1" t="s">
        <v>8</v>
      </c>
      <c r="N235" s="1" t="s">
        <v>895</v>
      </c>
      <c r="O235" s="1" t="s">
        <v>43</v>
      </c>
      <c r="P235" s="1" t="s">
        <v>72</v>
      </c>
      <c r="Q235" s="1" t="s">
        <v>896</v>
      </c>
      <c r="R235">
        <v>5.3280000000000003</v>
      </c>
    </row>
    <row r="236" spans="1:18" x14ac:dyDescent="0.3">
      <c r="A236">
        <v>235</v>
      </c>
      <c r="B236" s="1" t="s">
        <v>897</v>
      </c>
      <c r="C236" s="2">
        <v>43197</v>
      </c>
      <c r="D236" s="2">
        <v>43202</v>
      </c>
      <c r="E236" s="1" t="s">
        <v>47</v>
      </c>
      <c r="F236" s="1" t="s">
        <v>373</v>
      </c>
      <c r="G236" s="1" t="s">
        <v>374</v>
      </c>
      <c r="H236" s="1" t="s">
        <v>99</v>
      </c>
      <c r="I236" s="1" t="s">
        <v>27</v>
      </c>
      <c r="J236" s="1" t="s">
        <v>898</v>
      </c>
      <c r="K236" s="1" t="s">
        <v>51</v>
      </c>
      <c r="L236">
        <v>33614</v>
      </c>
      <c r="M236" s="1" t="s">
        <v>8</v>
      </c>
      <c r="N236" s="1" t="s">
        <v>903</v>
      </c>
      <c r="O236" s="1" t="s">
        <v>5</v>
      </c>
      <c r="P236" s="1" t="s">
        <v>62</v>
      </c>
      <c r="Q236" s="1" t="s">
        <v>904</v>
      </c>
      <c r="R236">
        <v>258.072</v>
      </c>
    </row>
    <row r="237" spans="1:18" x14ac:dyDescent="0.3">
      <c r="A237">
        <v>236</v>
      </c>
      <c r="B237" s="1" t="s">
        <v>897</v>
      </c>
      <c r="C237" s="2">
        <v>43197</v>
      </c>
      <c r="D237" s="2">
        <v>43202</v>
      </c>
      <c r="E237" s="1" t="s">
        <v>47</v>
      </c>
      <c r="F237" s="1" t="s">
        <v>373</v>
      </c>
      <c r="G237" s="1" t="s">
        <v>374</v>
      </c>
      <c r="H237" s="1" t="s">
        <v>99</v>
      </c>
      <c r="I237" s="1" t="s">
        <v>27</v>
      </c>
      <c r="J237" s="1" t="s">
        <v>898</v>
      </c>
      <c r="K237" s="1" t="s">
        <v>51</v>
      </c>
      <c r="L237">
        <v>33614</v>
      </c>
      <c r="M237" s="1" t="s">
        <v>8</v>
      </c>
      <c r="N237" s="1" t="s">
        <v>905</v>
      </c>
      <c r="O237" s="1" t="s">
        <v>68</v>
      </c>
      <c r="P237" s="1" t="s">
        <v>157</v>
      </c>
      <c r="Q237" s="1" t="s">
        <v>906</v>
      </c>
      <c r="R237">
        <v>617.976</v>
      </c>
    </row>
    <row r="238" spans="1:18" x14ac:dyDescent="0.3">
      <c r="A238">
        <v>237</v>
      </c>
      <c r="B238" s="1" t="s">
        <v>907</v>
      </c>
      <c r="C238" s="2">
        <v>43416</v>
      </c>
      <c r="D238" s="2">
        <v>43420</v>
      </c>
      <c r="E238" s="1" t="s">
        <v>47</v>
      </c>
      <c r="F238" s="1" t="s">
        <v>908</v>
      </c>
      <c r="G238" s="1" t="s">
        <v>909</v>
      </c>
      <c r="H238" s="1" t="s">
        <v>39</v>
      </c>
      <c r="I238" s="1" t="s">
        <v>27</v>
      </c>
      <c r="J238" s="1" t="s">
        <v>910</v>
      </c>
      <c r="K238" s="1" t="s">
        <v>41</v>
      </c>
      <c r="L238">
        <v>95051</v>
      </c>
      <c r="M238" s="1" t="s">
        <v>9</v>
      </c>
      <c r="N238" s="1" t="s">
        <v>911</v>
      </c>
      <c r="O238" s="1" t="s">
        <v>43</v>
      </c>
      <c r="P238" s="1" t="s">
        <v>87</v>
      </c>
      <c r="Q238" s="1" t="s">
        <v>912</v>
      </c>
      <c r="R238">
        <v>10.56</v>
      </c>
    </row>
    <row r="239" spans="1:18" x14ac:dyDescent="0.3">
      <c r="A239">
        <v>238</v>
      </c>
      <c r="B239" s="1" t="s">
        <v>913</v>
      </c>
      <c r="C239" s="2">
        <v>42890</v>
      </c>
      <c r="D239" s="2">
        <v>42895</v>
      </c>
      <c r="E239" s="1" t="s">
        <v>23</v>
      </c>
      <c r="F239" s="1" t="s">
        <v>914</v>
      </c>
      <c r="G239" s="1" t="s">
        <v>915</v>
      </c>
      <c r="H239" s="1" t="s">
        <v>26</v>
      </c>
      <c r="I239" s="1" t="s">
        <v>27</v>
      </c>
      <c r="J239" s="1" t="s">
        <v>299</v>
      </c>
      <c r="K239" s="1" t="s">
        <v>207</v>
      </c>
      <c r="L239">
        <v>60610</v>
      </c>
      <c r="M239" s="1" t="s">
        <v>102</v>
      </c>
      <c r="N239" s="1" t="s">
        <v>916</v>
      </c>
      <c r="O239" s="1" t="s">
        <v>43</v>
      </c>
      <c r="P239" s="1" t="s">
        <v>87</v>
      </c>
      <c r="Q239" s="1" t="s">
        <v>917</v>
      </c>
      <c r="R239">
        <v>25.92</v>
      </c>
    </row>
    <row r="240" spans="1:18" x14ac:dyDescent="0.3">
      <c r="A240">
        <v>239</v>
      </c>
      <c r="B240" s="1" t="s">
        <v>913</v>
      </c>
      <c r="C240" s="2">
        <v>42890</v>
      </c>
      <c r="D240" s="2">
        <v>42895</v>
      </c>
      <c r="E240" s="1" t="s">
        <v>23</v>
      </c>
      <c r="F240" s="1" t="s">
        <v>914</v>
      </c>
      <c r="G240" s="1" t="s">
        <v>915</v>
      </c>
      <c r="H240" s="1" t="s">
        <v>26</v>
      </c>
      <c r="I240" s="1" t="s">
        <v>27</v>
      </c>
      <c r="J240" s="1" t="s">
        <v>299</v>
      </c>
      <c r="K240" s="1" t="s">
        <v>207</v>
      </c>
      <c r="L240">
        <v>60610</v>
      </c>
      <c r="M240" s="1" t="s">
        <v>102</v>
      </c>
      <c r="N240" s="1" t="s">
        <v>918</v>
      </c>
      <c r="O240" s="1" t="s">
        <v>5</v>
      </c>
      <c r="P240" s="1" t="s">
        <v>62</v>
      </c>
      <c r="Q240" s="1" t="s">
        <v>919</v>
      </c>
      <c r="R240">
        <v>419.68</v>
      </c>
    </row>
    <row r="241" spans="1:18" x14ac:dyDescent="0.3">
      <c r="A241">
        <v>240</v>
      </c>
      <c r="B241" s="1" t="s">
        <v>913</v>
      </c>
      <c r="C241" s="2">
        <v>42890</v>
      </c>
      <c r="D241" s="2">
        <v>42895</v>
      </c>
      <c r="E241" s="1" t="s">
        <v>23</v>
      </c>
      <c r="F241" s="1" t="s">
        <v>914</v>
      </c>
      <c r="G241" s="1" t="s">
        <v>915</v>
      </c>
      <c r="H241" s="1" t="s">
        <v>26</v>
      </c>
      <c r="I241" s="1" t="s">
        <v>27</v>
      </c>
      <c r="J241" s="1" t="s">
        <v>299</v>
      </c>
      <c r="K241" s="1" t="s">
        <v>207</v>
      </c>
      <c r="L241">
        <v>60610</v>
      </c>
      <c r="M241" s="1" t="s">
        <v>102</v>
      </c>
      <c r="N241" s="1" t="s">
        <v>920</v>
      </c>
      <c r="O241" s="1" t="s">
        <v>5</v>
      </c>
      <c r="P241" s="1" t="s">
        <v>62</v>
      </c>
      <c r="Q241" s="1" t="s">
        <v>921</v>
      </c>
      <c r="R241">
        <v>11.688000000000001</v>
      </c>
    </row>
    <row r="242" spans="1:18" x14ac:dyDescent="0.3">
      <c r="A242">
        <v>241</v>
      </c>
      <c r="B242" s="1" t="s">
        <v>913</v>
      </c>
      <c r="C242" s="2">
        <v>42890</v>
      </c>
      <c r="D242" s="2">
        <v>42895</v>
      </c>
      <c r="E242" s="1" t="s">
        <v>23</v>
      </c>
      <c r="F242" s="1" t="s">
        <v>914</v>
      </c>
      <c r="G242" s="1" t="s">
        <v>915</v>
      </c>
      <c r="H242" s="1" t="s">
        <v>26</v>
      </c>
      <c r="I242" s="1" t="s">
        <v>27</v>
      </c>
      <c r="J242" s="1" t="s">
        <v>299</v>
      </c>
      <c r="K242" s="1" t="s">
        <v>207</v>
      </c>
      <c r="L242">
        <v>60610</v>
      </c>
      <c r="M242" s="1" t="s">
        <v>102</v>
      </c>
      <c r="N242" s="1" t="s">
        <v>922</v>
      </c>
      <c r="O242" s="1" t="s">
        <v>68</v>
      </c>
      <c r="P242" s="1" t="s">
        <v>69</v>
      </c>
      <c r="Q242" s="1" t="s">
        <v>923</v>
      </c>
      <c r="R242">
        <v>31.984000000000002</v>
      </c>
    </row>
    <row r="243" spans="1:18" x14ac:dyDescent="0.3">
      <c r="A243">
        <v>242</v>
      </c>
      <c r="B243" s="1" t="s">
        <v>913</v>
      </c>
      <c r="C243" s="2">
        <v>42890</v>
      </c>
      <c r="D243" s="2">
        <v>42895</v>
      </c>
      <c r="E243" s="1" t="s">
        <v>23</v>
      </c>
      <c r="F243" s="1" t="s">
        <v>914</v>
      </c>
      <c r="G243" s="1" t="s">
        <v>915</v>
      </c>
      <c r="H243" s="1" t="s">
        <v>26</v>
      </c>
      <c r="I243" s="1" t="s">
        <v>27</v>
      </c>
      <c r="J243" s="1" t="s">
        <v>299</v>
      </c>
      <c r="K243" s="1" t="s">
        <v>207</v>
      </c>
      <c r="L243">
        <v>60610</v>
      </c>
      <c r="M243" s="1" t="s">
        <v>102</v>
      </c>
      <c r="N243" s="1" t="s">
        <v>924</v>
      </c>
      <c r="O243" s="1" t="s">
        <v>5</v>
      </c>
      <c r="P243" s="1" t="s">
        <v>53</v>
      </c>
      <c r="Q243" s="1" t="s">
        <v>925</v>
      </c>
      <c r="R243">
        <v>177.22499999999999</v>
      </c>
    </row>
    <row r="244" spans="1:18" x14ac:dyDescent="0.3">
      <c r="A244">
        <v>243</v>
      </c>
      <c r="B244" s="1" t="s">
        <v>913</v>
      </c>
      <c r="C244" s="2">
        <v>42890</v>
      </c>
      <c r="D244" s="2">
        <v>42895</v>
      </c>
      <c r="E244" s="1" t="s">
        <v>23</v>
      </c>
      <c r="F244" s="1" t="s">
        <v>914</v>
      </c>
      <c r="G244" s="1" t="s">
        <v>915</v>
      </c>
      <c r="H244" s="1" t="s">
        <v>26</v>
      </c>
      <c r="I244" s="1" t="s">
        <v>27</v>
      </c>
      <c r="J244" s="1" t="s">
        <v>299</v>
      </c>
      <c r="K244" s="1" t="s">
        <v>207</v>
      </c>
      <c r="L244">
        <v>60610</v>
      </c>
      <c r="M244" s="1" t="s">
        <v>102</v>
      </c>
      <c r="N244" s="1" t="s">
        <v>926</v>
      </c>
      <c r="O244" s="1" t="s">
        <v>5</v>
      </c>
      <c r="P244" s="1" t="s">
        <v>62</v>
      </c>
      <c r="Q244" s="1" t="s">
        <v>927</v>
      </c>
      <c r="R244">
        <v>4.0439999999999996</v>
      </c>
    </row>
    <row r="245" spans="1:18" x14ac:dyDescent="0.3">
      <c r="A245">
        <v>244</v>
      </c>
      <c r="B245" s="1" t="s">
        <v>913</v>
      </c>
      <c r="C245" s="2">
        <v>42890</v>
      </c>
      <c r="D245" s="2">
        <v>42895</v>
      </c>
      <c r="E245" s="1" t="s">
        <v>23</v>
      </c>
      <c r="F245" s="1" t="s">
        <v>914</v>
      </c>
      <c r="G245" s="1" t="s">
        <v>915</v>
      </c>
      <c r="H245" s="1" t="s">
        <v>26</v>
      </c>
      <c r="I245" s="1" t="s">
        <v>27</v>
      </c>
      <c r="J245" s="1" t="s">
        <v>299</v>
      </c>
      <c r="K245" s="1" t="s">
        <v>207</v>
      </c>
      <c r="L245">
        <v>60610</v>
      </c>
      <c r="M245" s="1" t="s">
        <v>102</v>
      </c>
      <c r="N245" s="1" t="s">
        <v>778</v>
      </c>
      <c r="O245" s="1" t="s">
        <v>43</v>
      </c>
      <c r="P245" s="1" t="s">
        <v>65</v>
      </c>
      <c r="Q245" s="1" t="s">
        <v>779</v>
      </c>
      <c r="R245">
        <v>7.4080000000000004</v>
      </c>
    </row>
    <row r="246" spans="1:18" x14ac:dyDescent="0.3">
      <c r="A246">
        <v>245</v>
      </c>
      <c r="B246" s="1" t="s">
        <v>928</v>
      </c>
      <c r="C246" s="2">
        <v>42156</v>
      </c>
      <c r="D246" s="2">
        <v>42161</v>
      </c>
      <c r="E246" s="1" t="s">
        <v>23</v>
      </c>
      <c r="F246" s="1" t="s">
        <v>929</v>
      </c>
      <c r="G246" s="1" t="s">
        <v>930</v>
      </c>
      <c r="H246" s="1" t="s">
        <v>99</v>
      </c>
      <c r="I246" s="1" t="s">
        <v>27</v>
      </c>
      <c r="J246" s="1" t="s">
        <v>931</v>
      </c>
      <c r="K246" s="1" t="s">
        <v>225</v>
      </c>
      <c r="L246">
        <v>55044</v>
      </c>
      <c r="M246" s="1" t="s">
        <v>102</v>
      </c>
      <c r="N246" s="1" t="s">
        <v>529</v>
      </c>
      <c r="O246" s="1" t="s">
        <v>5</v>
      </c>
      <c r="P246" s="1" t="s">
        <v>34</v>
      </c>
      <c r="Q246" s="1" t="s">
        <v>530</v>
      </c>
      <c r="R246">
        <v>2001.86</v>
      </c>
    </row>
    <row r="247" spans="1:18" x14ac:dyDescent="0.3">
      <c r="A247">
        <v>246</v>
      </c>
      <c r="B247" s="1" t="s">
        <v>928</v>
      </c>
      <c r="C247" s="2">
        <v>42156</v>
      </c>
      <c r="D247" s="2">
        <v>42161</v>
      </c>
      <c r="E247" s="1" t="s">
        <v>23</v>
      </c>
      <c r="F247" s="1" t="s">
        <v>929</v>
      </c>
      <c r="G247" s="1" t="s">
        <v>930</v>
      </c>
      <c r="H247" s="1" t="s">
        <v>99</v>
      </c>
      <c r="I247" s="1" t="s">
        <v>27</v>
      </c>
      <c r="J247" s="1" t="s">
        <v>931</v>
      </c>
      <c r="K247" s="1" t="s">
        <v>225</v>
      </c>
      <c r="L247">
        <v>55044</v>
      </c>
      <c r="M247" s="1" t="s">
        <v>102</v>
      </c>
      <c r="N247" s="1" t="s">
        <v>932</v>
      </c>
      <c r="O247" s="1" t="s">
        <v>43</v>
      </c>
      <c r="P247" s="1" t="s">
        <v>56</v>
      </c>
      <c r="Q247" s="1" t="s">
        <v>933</v>
      </c>
      <c r="R247">
        <v>166.72</v>
      </c>
    </row>
    <row r="248" spans="1:18" x14ac:dyDescent="0.3">
      <c r="A248">
        <v>247</v>
      </c>
      <c r="B248" s="1" t="s">
        <v>928</v>
      </c>
      <c r="C248" s="2">
        <v>42156</v>
      </c>
      <c r="D248" s="2">
        <v>42161</v>
      </c>
      <c r="E248" s="1" t="s">
        <v>23</v>
      </c>
      <c r="F248" s="1" t="s">
        <v>929</v>
      </c>
      <c r="G248" s="1" t="s">
        <v>930</v>
      </c>
      <c r="H248" s="1" t="s">
        <v>99</v>
      </c>
      <c r="I248" s="1" t="s">
        <v>27</v>
      </c>
      <c r="J248" s="1" t="s">
        <v>931</v>
      </c>
      <c r="K248" s="1" t="s">
        <v>225</v>
      </c>
      <c r="L248">
        <v>55044</v>
      </c>
      <c r="M248" s="1" t="s">
        <v>102</v>
      </c>
      <c r="N248" s="1" t="s">
        <v>934</v>
      </c>
      <c r="O248" s="1" t="s">
        <v>43</v>
      </c>
      <c r="P248" s="1" t="s">
        <v>87</v>
      </c>
      <c r="Q248" s="1" t="s">
        <v>935</v>
      </c>
      <c r="R248">
        <v>47.88</v>
      </c>
    </row>
    <row r="249" spans="1:18" x14ac:dyDescent="0.3">
      <c r="A249">
        <v>248</v>
      </c>
      <c r="B249" s="1" t="s">
        <v>928</v>
      </c>
      <c r="C249" s="2">
        <v>42156</v>
      </c>
      <c r="D249" s="2">
        <v>42161</v>
      </c>
      <c r="E249" s="1" t="s">
        <v>23</v>
      </c>
      <c r="F249" s="1" t="s">
        <v>929</v>
      </c>
      <c r="G249" s="1" t="s">
        <v>930</v>
      </c>
      <c r="H249" s="1" t="s">
        <v>99</v>
      </c>
      <c r="I249" s="1" t="s">
        <v>27</v>
      </c>
      <c r="J249" s="1" t="s">
        <v>931</v>
      </c>
      <c r="K249" s="1" t="s">
        <v>225</v>
      </c>
      <c r="L249">
        <v>55044</v>
      </c>
      <c r="M249" s="1" t="s">
        <v>102</v>
      </c>
      <c r="N249" s="1" t="s">
        <v>936</v>
      </c>
      <c r="O249" s="1" t="s">
        <v>43</v>
      </c>
      <c r="P249" s="1" t="s">
        <v>75</v>
      </c>
      <c r="Q249" s="1" t="s">
        <v>937</v>
      </c>
      <c r="R249">
        <v>1503.25</v>
      </c>
    </row>
    <row r="250" spans="1:18" x14ac:dyDescent="0.3">
      <c r="A250">
        <v>249</v>
      </c>
      <c r="B250" s="1" t="s">
        <v>928</v>
      </c>
      <c r="C250" s="2">
        <v>42156</v>
      </c>
      <c r="D250" s="2">
        <v>42161</v>
      </c>
      <c r="E250" s="1" t="s">
        <v>23</v>
      </c>
      <c r="F250" s="1" t="s">
        <v>929</v>
      </c>
      <c r="G250" s="1" t="s">
        <v>930</v>
      </c>
      <c r="H250" s="1" t="s">
        <v>99</v>
      </c>
      <c r="I250" s="1" t="s">
        <v>27</v>
      </c>
      <c r="J250" s="1" t="s">
        <v>931</v>
      </c>
      <c r="K250" s="1" t="s">
        <v>225</v>
      </c>
      <c r="L250">
        <v>55044</v>
      </c>
      <c r="M250" s="1" t="s">
        <v>102</v>
      </c>
      <c r="N250" s="1" t="s">
        <v>766</v>
      </c>
      <c r="O250" s="1" t="s">
        <v>43</v>
      </c>
      <c r="P250" s="1" t="s">
        <v>87</v>
      </c>
      <c r="Q250" s="1" t="s">
        <v>767</v>
      </c>
      <c r="R250">
        <v>25.92</v>
      </c>
    </row>
    <row r="251" spans="1:18" x14ac:dyDescent="0.3">
      <c r="A251">
        <v>250</v>
      </c>
      <c r="B251" s="1" t="s">
        <v>938</v>
      </c>
      <c r="C251" s="2">
        <v>43079</v>
      </c>
      <c r="D251" s="2">
        <v>43084</v>
      </c>
      <c r="E251" s="1" t="s">
        <v>23</v>
      </c>
      <c r="F251" s="1" t="s">
        <v>939</v>
      </c>
      <c r="G251" s="1" t="s">
        <v>940</v>
      </c>
      <c r="H251" s="1" t="s">
        <v>26</v>
      </c>
      <c r="I251" s="1" t="s">
        <v>27</v>
      </c>
      <c r="J251" s="1" t="s">
        <v>124</v>
      </c>
      <c r="K251" s="1" t="s">
        <v>41</v>
      </c>
      <c r="L251">
        <v>94109</v>
      </c>
      <c r="M251" s="1" t="s">
        <v>9</v>
      </c>
      <c r="N251" s="1" t="s">
        <v>941</v>
      </c>
      <c r="O251" s="1" t="s">
        <v>5</v>
      </c>
      <c r="P251" s="1" t="s">
        <v>34</v>
      </c>
      <c r="Q251" s="1" t="s">
        <v>942</v>
      </c>
      <c r="R251">
        <v>321.56799999999998</v>
      </c>
    </row>
    <row r="252" spans="1:18" x14ac:dyDescent="0.3">
      <c r="A252">
        <v>251</v>
      </c>
      <c r="B252" s="1" t="s">
        <v>943</v>
      </c>
      <c r="C252" s="2">
        <v>42989</v>
      </c>
      <c r="D252" s="2">
        <v>42995</v>
      </c>
      <c r="E252" s="1" t="s">
        <v>47</v>
      </c>
      <c r="F252" s="1" t="s">
        <v>944</v>
      </c>
      <c r="G252" s="1" t="s">
        <v>945</v>
      </c>
      <c r="H252" s="1" t="s">
        <v>26</v>
      </c>
      <c r="I252" s="1" t="s">
        <v>27</v>
      </c>
      <c r="J252" s="1" t="s">
        <v>946</v>
      </c>
      <c r="K252" s="1" t="s">
        <v>41</v>
      </c>
      <c r="L252">
        <v>92037</v>
      </c>
      <c r="M252" s="1" t="s">
        <v>9</v>
      </c>
      <c r="N252" s="1" t="s">
        <v>947</v>
      </c>
      <c r="O252" s="1" t="s">
        <v>43</v>
      </c>
      <c r="P252" s="1" t="s">
        <v>87</v>
      </c>
      <c r="Q252" s="1" t="s">
        <v>948</v>
      </c>
      <c r="R252">
        <v>7.61</v>
      </c>
    </row>
    <row r="253" spans="1:18" x14ac:dyDescent="0.3">
      <c r="A253">
        <v>252</v>
      </c>
      <c r="B253" s="1" t="s">
        <v>943</v>
      </c>
      <c r="C253" s="2">
        <v>42989</v>
      </c>
      <c r="D253" s="2">
        <v>42995</v>
      </c>
      <c r="E253" s="1" t="s">
        <v>47</v>
      </c>
      <c r="F253" s="1" t="s">
        <v>944</v>
      </c>
      <c r="G253" s="1" t="s">
        <v>945</v>
      </c>
      <c r="H253" s="1" t="s">
        <v>26</v>
      </c>
      <c r="I253" s="1" t="s">
        <v>27</v>
      </c>
      <c r="J253" s="1" t="s">
        <v>946</v>
      </c>
      <c r="K253" s="1" t="s">
        <v>41</v>
      </c>
      <c r="L253">
        <v>92037</v>
      </c>
      <c r="M253" s="1" t="s">
        <v>9</v>
      </c>
      <c r="N253" s="1" t="s">
        <v>905</v>
      </c>
      <c r="O253" s="1" t="s">
        <v>68</v>
      </c>
      <c r="P253" s="1" t="s">
        <v>157</v>
      </c>
      <c r="Q253" s="1" t="s">
        <v>906</v>
      </c>
      <c r="R253">
        <v>3347.37</v>
      </c>
    </row>
    <row r="254" spans="1:18" x14ac:dyDescent="0.3">
      <c r="A254">
        <v>253</v>
      </c>
      <c r="B254" s="1" t="s">
        <v>949</v>
      </c>
      <c r="C254" s="2">
        <v>43079</v>
      </c>
      <c r="D254" s="2">
        <v>43082</v>
      </c>
      <c r="E254" s="1" t="s">
        <v>184</v>
      </c>
      <c r="F254" s="1" t="s">
        <v>950</v>
      </c>
      <c r="G254" s="1" t="s">
        <v>951</v>
      </c>
      <c r="H254" s="1" t="s">
        <v>26</v>
      </c>
      <c r="I254" s="1" t="s">
        <v>27</v>
      </c>
      <c r="J254" s="1" t="s">
        <v>262</v>
      </c>
      <c r="K254" s="1" t="s">
        <v>263</v>
      </c>
      <c r="L254">
        <v>10024</v>
      </c>
      <c r="M254" s="1" t="s">
        <v>10</v>
      </c>
      <c r="N254" s="1" t="s">
        <v>952</v>
      </c>
      <c r="O254" s="1" t="s">
        <v>43</v>
      </c>
      <c r="P254" s="1" t="s">
        <v>56</v>
      </c>
      <c r="Q254" s="1" t="s">
        <v>953</v>
      </c>
      <c r="R254">
        <v>80.58</v>
      </c>
    </row>
    <row r="255" spans="1:18" x14ac:dyDescent="0.3">
      <c r="A255">
        <v>254</v>
      </c>
      <c r="B255" s="1" t="s">
        <v>949</v>
      </c>
      <c r="C255" s="2">
        <v>43079</v>
      </c>
      <c r="D255" s="2">
        <v>43082</v>
      </c>
      <c r="E255" s="1" t="s">
        <v>184</v>
      </c>
      <c r="F255" s="1" t="s">
        <v>950</v>
      </c>
      <c r="G255" s="1" t="s">
        <v>951</v>
      </c>
      <c r="H255" s="1" t="s">
        <v>26</v>
      </c>
      <c r="I255" s="1" t="s">
        <v>27</v>
      </c>
      <c r="J255" s="1" t="s">
        <v>262</v>
      </c>
      <c r="K255" s="1" t="s">
        <v>263</v>
      </c>
      <c r="L255">
        <v>10024</v>
      </c>
      <c r="M255" s="1" t="s">
        <v>10</v>
      </c>
      <c r="N255" s="1" t="s">
        <v>954</v>
      </c>
      <c r="O255" s="1" t="s">
        <v>43</v>
      </c>
      <c r="P255" s="1" t="s">
        <v>169</v>
      </c>
      <c r="Q255" s="1" t="s">
        <v>955</v>
      </c>
      <c r="R255">
        <v>361.92</v>
      </c>
    </row>
    <row r="256" spans="1:18" x14ac:dyDescent="0.3">
      <c r="A256">
        <v>255</v>
      </c>
      <c r="B256" s="1" t="s">
        <v>956</v>
      </c>
      <c r="C256" s="2">
        <v>42702</v>
      </c>
      <c r="D256" s="2">
        <v>42708</v>
      </c>
      <c r="E256" s="1" t="s">
        <v>47</v>
      </c>
      <c r="F256" s="1" t="s">
        <v>957</v>
      </c>
      <c r="G256" s="1" t="s">
        <v>958</v>
      </c>
      <c r="H256" s="1" t="s">
        <v>39</v>
      </c>
      <c r="I256" s="1" t="s">
        <v>27</v>
      </c>
      <c r="J256" s="1" t="s">
        <v>299</v>
      </c>
      <c r="K256" s="1" t="s">
        <v>207</v>
      </c>
      <c r="L256">
        <v>60623</v>
      </c>
      <c r="M256" s="1" t="s">
        <v>102</v>
      </c>
      <c r="N256" s="1" t="s">
        <v>926</v>
      </c>
      <c r="O256" s="1" t="s">
        <v>5</v>
      </c>
      <c r="P256" s="1" t="s">
        <v>62</v>
      </c>
      <c r="Q256" s="1" t="s">
        <v>927</v>
      </c>
      <c r="R256">
        <v>12.132</v>
      </c>
    </row>
    <row r="257" spans="1:18" x14ac:dyDescent="0.3">
      <c r="A257">
        <v>256</v>
      </c>
      <c r="B257" s="1" t="s">
        <v>956</v>
      </c>
      <c r="C257" s="2">
        <v>42702</v>
      </c>
      <c r="D257" s="2">
        <v>42708</v>
      </c>
      <c r="E257" s="1" t="s">
        <v>47</v>
      </c>
      <c r="F257" s="1" t="s">
        <v>957</v>
      </c>
      <c r="G257" s="1" t="s">
        <v>958</v>
      </c>
      <c r="H257" s="1" t="s">
        <v>39</v>
      </c>
      <c r="I257" s="1" t="s">
        <v>27</v>
      </c>
      <c r="J257" s="1" t="s">
        <v>299</v>
      </c>
      <c r="K257" s="1" t="s">
        <v>207</v>
      </c>
      <c r="L257">
        <v>60623</v>
      </c>
      <c r="M257" s="1" t="s">
        <v>102</v>
      </c>
      <c r="N257" s="1" t="s">
        <v>959</v>
      </c>
      <c r="O257" s="1" t="s">
        <v>43</v>
      </c>
      <c r="P257" s="1" t="s">
        <v>56</v>
      </c>
      <c r="Q257" s="1" t="s">
        <v>960</v>
      </c>
      <c r="R257">
        <v>82.367999999999995</v>
      </c>
    </row>
    <row r="258" spans="1:18" x14ac:dyDescent="0.3">
      <c r="A258">
        <v>257</v>
      </c>
      <c r="B258" s="1" t="s">
        <v>956</v>
      </c>
      <c r="C258" s="2">
        <v>42702</v>
      </c>
      <c r="D258" s="2">
        <v>42708</v>
      </c>
      <c r="E258" s="1" t="s">
        <v>47</v>
      </c>
      <c r="F258" s="1" t="s">
        <v>957</v>
      </c>
      <c r="G258" s="1" t="s">
        <v>958</v>
      </c>
      <c r="H258" s="1" t="s">
        <v>39</v>
      </c>
      <c r="I258" s="1" t="s">
        <v>27</v>
      </c>
      <c r="J258" s="1" t="s">
        <v>299</v>
      </c>
      <c r="K258" s="1" t="s">
        <v>207</v>
      </c>
      <c r="L258">
        <v>60623</v>
      </c>
      <c r="M258" s="1" t="s">
        <v>102</v>
      </c>
      <c r="N258" s="1" t="s">
        <v>632</v>
      </c>
      <c r="O258" s="1" t="s">
        <v>43</v>
      </c>
      <c r="P258" s="1" t="s">
        <v>56</v>
      </c>
      <c r="Q258" s="1" t="s">
        <v>633</v>
      </c>
      <c r="R258">
        <v>53.92</v>
      </c>
    </row>
    <row r="259" spans="1:18" x14ac:dyDescent="0.3">
      <c r="A259">
        <v>258</v>
      </c>
      <c r="B259" s="1" t="s">
        <v>956</v>
      </c>
      <c r="C259" s="2">
        <v>42702</v>
      </c>
      <c r="D259" s="2">
        <v>42708</v>
      </c>
      <c r="E259" s="1" t="s">
        <v>47</v>
      </c>
      <c r="F259" s="1" t="s">
        <v>957</v>
      </c>
      <c r="G259" s="1" t="s">
        <v>958</v>
      </c>
      <c r="H259" s="1" t="s">
        <v>39</v>
      </c>
      <c r="I259" s="1" t="s">
        <v>27</v>
      </c>
      <c r="J259" s="1" t="s">
        <v>299</v>
      </c>
      <c r="K259" s="1" t="s">
        <v>207</v>
      </c>
      <c r="L259">
        <v>60623</v>
      </c>
      <c r="M259" s="1" t="s">
        <v>102</v>
      </c>
      <c r="N259" s="1" t="s">
        <v>961</v>
      </c>
      <c r="O259" s="1" t="s">
        <v>68</v>
      </c>
      <c r="P259" s="1" t="s">
        <v>69</v>
      </c>
      <c r="Q259" s="1" t="s">
        <v>962</v>
      </c>
      <c r="R259">
        <v>647.904</v>
      </c>
    </row>
    <row r="260" spans="1:18" x14ac:dyDescent="0.3">
      <c r="A260">
        <v>259</v>
      </c>
      <c r="B260" s="1" t="s">
        <v>963</v>
      </c>
      <c r="C260" s="2">
        <v>43435</v>
      </c>
      <c r="D260" s="2">
        <v>43437</v>
      </c>
      <c r="E260" s="1" t="s">
        <v>23</v>
      </c>
      <c r="F260" s="1" t="s">
        <v>964</v>
      </c>
      <c r="G260" s="1" t="s">
        <v>965</v>
      </c>
      <c r="H260" s="1" t="s">
        <v>26</v>
      </c>
      <c r="I260" s="1" t="s">
        <v>27</v>
      </c>
      <c r="J260" s="1" t="s">
        <v>262</v>
      </c>
      <c r="K260" s="1" t="s">
        <v>263</v>
      </c>
      <c r="L260">
        <v>10009</v>
      </c>
      <c r="M260" s="1" t="s">
        <v>10</v>
      </c>
      <c r="N260" s="1" t="s">
        <v>966</v>
      </c>
      <c r="O260" s="1" t="s">
        <v>68</v>
      </c>
      <c r="P260" s="1" t="s">
        <v>157</v>
      </c>
      <c r="Q260" s="1" t="s">
        <v>967</v>
      </c>
      <c r="R260">
        <v>20.37</v>
      </c>
    </row>
    <row r="261" spans="1:18" x14ac:dyDescent="0.3">
      <c r="A261">
        <v>260</v>
      </c>
      <c r="B261" s="1" t="s">
        <v>963</v>
      </c>
      <c r="C261" s="2">
        <v>43435</v>
      </c>
      <c r="D261" s="2">
        <v>43437</v>
      </c>
      <c r="E261" s="1" t="s">
        <v>23</v>
      </c>
      <c r="F261" s="1" t="s">
        <v>964</v>
      </c>
      <c r="G261" s="1" t="s">
        <v>965</v>
      </c>
      <c r="H261" s="1" t="s">
        <v>26</v>
      </c>
      <c r="I261" s="1" t="s">
        <v>27</v>
      </c>
      <c r="J261" s="1" t="s">
        <v>262</v>
      </c>
      <c r="K261" s="1" t="s">
        <v>263</v>
      </c>
      <c r="L261">
        <v>10009</v>
      </c>
      <c r="M261" s="1" t="s">
        <v>10</v>
      </c>
      <c r="N261" s="1" t="s">
        <v>968</v>
      </c>
      <c r="O261" s="1" t="s">
        <v>43</v>
      </c>
      <c r="P261" s="1" t="s">
        <v>56</v>
      </c>
      <c r="Q261" s="1" t="s">
        <v>969</v>
      </c>
      <c r="R261">
        <v>221.55</v>
      </c>
    </row>
    <row r="262" spans="1:18" x14ac:dyDescent="0.3">
      <c r="A262">
        <v>261</v>
      </c>
      <c r="B262" s="1" t="s">
        <v>963</v>
      </c>
      <c r="C262" s="2">
        <v>43435</v>
      </c>
      <c r="D262" s="2">
        <v>43437</v>
      </c>
      <c r="E262" s="1" t="s">
        <v>23</v>
      </c>
      <c r="F262" s="1" t="s">
        <v>964</v>
      </c>
      <c r="G262" s="1" t="s">
        <v>965</v>
      </c>
      <c r="H262" s="1" t="s">
        <v>26</v>
      </c>
      <c r="I262" s="1" t="s">
        <v>27</v>
      </c>
      <c r="J262" s="1" t="s">
        <v>262</v>
      </c>
      <c r="K262" s="1" t="s">
        <v>263</v>
      </c>
      <c r="L262">
        <v>10009</v>
      </c>
      <c r="M262" s="1" t="s">
        <v>10</v>
      </c>
      <c r="N262" s="1" t="s">
        <v>970</v>
      </c>
      <c r="O262" s="1" t="s">
        <v>43</v>
      </c>
      <c r="P262" s="1" t="s">
        <v>72</v>
      </c>
      <c r="Q262" s="1" t="s">
        <v>971</v>
      </c>
      <c r="R262">
        <v>17.52</v>
      </c>
    </row>
    <row r="263" spans="1:18" x14ac:dyDescent="0.3">
      <c r="A263">
        <v>262</v>
      </c>
      <c r="B263" s="1" t="s">
        <v>972</v>
      </c>
      <c r="C263" s="2">
        <v>43259</v>
      </c>
      <c r="D263" s="2">
        <v>43263</v>
      </c>
      <c r="E263" s="1" t="s">
        <v>47</v>
      </c>
      <c r="F263" s="1" t="s">
        <v>973</v>
      </c>
      <c r="G263" s="1" t="s">
        <v>974</v>
      </c>
      <c r="H263" s="1" t="s">
        <v>39</v>
      </c>
      <c r="I263" s="1" t="s">
        <v>27</v>
      </c>
      <c r="J263" s="1" t="s">
        <v>599</v>
      </c>
      <c r="K263" s="1" t="s">
        <v>101</v>
      </c>
      <c r="L263">
        <v>77506</v>
      </c>
      <c r="M263" s="1" t="s">
        <v>102</v>
      </c>
      <c r="N263" s="1" t="s">
        <v>975</v>
      </c>
      <c r="O263" s="1" t="s">
        <v>43</v>
      </c>
      <c r="P263" s="1" t="s">
        <v>75</v>
      </c>
      <c r="Q263" s="1" t="s">
        <v>976</v>
      </c>
      <c r="R263">
        <v>1.6240000000000001</v>
      </c>
    </row>
    <row r="264" spans="1:18" x14ac:dyDescent="0.3">
      <c r="A264">
        <v>263</v>
      </c>
      <c r="B264" s="1" t="s">
        <v>977</v>
      </c>
      <c r="C264" s="2">
        <v>42266</v>
      </c>
      <c r="D264" s="2">
        <v>42268</v>
      </c>
      <c r="E264" s="1" t="s">
        <v>23</v>
      </c>
      <c r="F264" s="1" t="s">
        <v>978</v>
      </c>
      <c r="G264" s="1" t="s">
        <v>979</v>
      </c>
      <c r="H264" s="1" t="s">
        <v>39</v>
      </c>
      <c r="I264" s="1" t="s">
        <v>27</v>
      </c>
      <c r="J264" s="1" t="s">
        <v>180</v>
      </c>
      <c r="K264" s="1" t="s">
        <v>101</v>
      </c>
      <c r="L264">
        <v>77036</v>
      </c>
      <c r="M264" s="1" t="s">
        <v>102</v>
      </c>
      <c r="N264" s="1" t="s">
        <v>679</v>
      </c>
      <c r="O264" s="1" t="s">
        <v>68</v>
      </c>
      <c r="P264" s="1" t="s">
        <v>680</v>
      </c>
      <c r="Q264" s="1" t="s">
        <v>681</v>
      </c>
      <c r="R264">
        <v>3059.982</v>
      </c>
    </row>
    <row r="265" spans="1:18" x14ac:dyDescent="0.3">
      <c r="A265">
        <v>264</v>
      </c>
      <c r="B265" s="1" t="s">
        <v>977</v>
      </c>
      <c r="C265" s="2">
        <v>42266</v>
      </c>
      <c r="D265" s="2">
        <v>42268</v>
      </c>
      <c r="E265" s="1" t="s">
        <v>23</v>
      </c>
      <c r="F265" s="1" t="s">
        <v>978</v>
      </c>
      <c r="G265" s="1" t="s">
        <v>979</v>
      </c>
      <c r="H265" s="1" t="s">
        <v>39</v>
      </c>
      <c r="I265" s="1" t="s">
        <v>27</v>
      </c>
      <c r="J265" s="1" t="s">
        <v>180</v>
      </c>
      <c r="K265" s="1" t="s">
        <v>101</v>
      </c>
      <c r="L265">
        <v>77036</v>
      </c>
      <c r="M265" s="1" t="s">
        <v>102</v>
      </c>
      <c r="N265" s="1" t="s">
        <v>980</v>
      </c>
      <c r="O265" s="1" t="s">
        <v>68</v>
      </c>
      <c r="P265" s="1" t="s">
        <v>680</v>
      </c>
      <c r="Q265" s="1" t="s">
        <v>981</v>
      </c>
      <c r="R265">
        <v>2519.9580000000001</v>
      </c>
    </row>
    <row r="266" spans="1:18" x14ac:dyDescent="0.3">
      <c r="A266">
        <v>265</v>
      </c>
      <c r="B266" s="1" t="s">
        <v>982</v>
      </c>
      <c r="C266" s="2">
        <v>42892</v>
      </c>
      <c r="D266" s="2">
        <v>42899</v>
      </c>
      <c r="E266" s="1" t="s">
        <v>47</v>
      </c>
      <c r="F266" s="1" t="s">
        <v>983</v>
      </c>
      <c r="G266" s="1" t="s">
        <v>984</v>
      </c>
      <c r="H266" s="1" t="s">
        <v>26</v>
      </c>
      <c r="I266" s="1" t="s">
        <v>27</v>
      </c>
      <c r="J266" s="1" t="s">
        <v>299</v>
      </c>
      <c r="K266" s="1" t="s">
        <v>207</v>
      </c>
      <c r="L266">
        <v>60610</v>
      </c>
      <c r="M266" s="1" t="s">
        <v>102</v>
      </c>
      <c r="N266" s="1" t="s">
        <v>985</v>
      </c>
      <c r="O266" s="1" t="s">
        <v>68</v>
      </c>
      <c r="P266" s="1" t="s">
        <v>69</v>
      </c>
      <c r="Q266" s="1" t="s">
        <v>986</v>
      </c>
      <c r="R266">
        <v>328.22399999999999</v>
      </c>
    </row>
    <row r="267" spans="1:18" x14ac:dyDescent="0.3">
      <c r="A267">
        <v>266</v>
      </c>
      <c r="B267" s="1" t="s">
        <v>987</v>
      </c>
      <c r="C267" s="2">
        <v>42684</v>
      </c>
      <c r="D267" s="2">
        <v>42689</v>
      </c>
      <c r="E267" s="1" t="s">
        <v>47</v>
      </c>
      <c r="F267" s="1" t="s">
        <v>988</v>
      </c>
      <c r="G267" s="1" t="s">
        <v>989</v>
      </c>
      <c r="H267" s="1" t="s">
        <v>26</v>
      </c>
      <c r="I267" s="1" t="s">
        <v>27</v>
      </c>
      <c r="J267" s="1" t="s">
        <v>990</v>
      </c>
      <c r="K267" s="1" t="s">
        <v>41</v>
      </c>
      <c r="L267">
        <v>94513</v>
      </c>
      <c r="M267" s="1" t="s">
        <v>9</v>
      </c>
      <c r="N267" s="1" t="s">
        <v>991</v>
      </c>
      <c r="O267" s="1" t="s">
        <v>68</v>
      </c>
      <c r="P267" s="1" t="s">
        <v>157</v>
      </c>
      <c r="Q267" s="1" t="s">
        <v>992</v>
      </c>
      <c r="R267">
        <v>79.900000000000006</v>
      </c>
    </row>
    <row r="268" spans="1:18" x14ac:dyDescent="0.3">
      <c r="A268">
        <v>267</v>
      </c>
      <c r="B268" s="1" t="s">
        <v>993</v>
      </c>
      <c r="C268" s="2">
        <v>43267</v>
      </c>
      <c r="D268" s="2">
        <v>43271</v>
      </c>
      <c r="E268" s="1" t="s">
        <v>47</v>
      </c>
      <c r="F268" s="1" t="s">
        <v>994</v>
      </c>
      <c r="G268" s="1" t="s">
        <v>995</v>
      </c>
      <c r="H268" s="1" t="s">
        <v>39</v>
      </c>
      <c r="I268" s="1" t="s">
        <v>27</v>
      </c>
      <c r="J268" s="1" t="s">
        <v>996</v>
      </c>
      <c r="K268" s="1" t="s">
        <v>85</v>
      </c>
      <c r="L268">
        <v>27514</v>
      </c>
      <c r="M268" s="1" t="s">
        <v>8</v>
      </c>
      <c r="N268" s="1" t="s">
        <v>997</v>
      </c>
      <c r="O268" s="1" t="s">
        <v>43</v>
      </c>
      <c r="P268" s="1" t="s">
        <v>65</v>
      </c>
      <c r="Q268" s="1" t="s">
        <v>998</v>
      </c>
      <c r="R268">
        <v>14.016</v>
      </c>
    </row>
    <row r="269" spans="1:18" x14ac:dyDescent="0.3">
      <c r="A269">
        <v>268</v>
      </c>
      <c r="B269" s="1" t="s">
        <v>999</v>
      </c>
      <c r="C269" s="2">
        <v>42757</v>
      </c>
      <c r="D269" s="2">
        <v>42763</v>
      </c>
      <c r="E269" s="1" t="s">
        <v>47</v>
      </c>
      <c r="F269" s="1" t="s">
        <v>383</v>
      </c>
      <c r="G269" s="1" t="s">
        <v>384</v>
      </c>
      <c r="H269" s="1" t="s">
        <v>26</v>
      </c>
      <c r="I269" s="1" t="s">
        <v>27</v>
      </c>
      <c r="J269" s="1" t="s">
        <v>1000</v>
      </c>
      <c r="K269" s="1" t="s">
        <v>786</v>
      </c>
      <c r="L269">
        <v>7960</v>
      </c>
      <c r="M269" s="1" t="s">
        <v>10</v>
      </c>
      <c r="N269" s="1" t="s">
        <v>1001</v>
      </c>
      <c r="O269" s="1" t="s">
        <v>43</v>
      </c>
      <c r="P269" s="1" t="s">
        <v>265</v>
      </c>
      <c r="Q269" s="1" t="s">
        <v>1002</v>
      </c>
      <c r="R269">
        <v>7.56</v>
      </c>
    </row>
    <row r="270" spans="1:18" x14ac:dyDescent="0.3">
      <c r="A270">
        <v>269</v>
      </c>
      <c r="B270" s="1" t="s">
        <v>1003</v>
      </c>
      <c r="C270" s="2">
        <v>43443</v>
      </c>
      <c r="D270" s="2">
        <v>43447</v>
      </c>
      <c r="E270" s="1" t="s">
        <v>47</v>
      </c>
      <c r="F270" s="1" t="s">
        <v>1004</v>
      </c>
      <c r="G270" s="1" t="s">
        <v>1005</v>
      </c>
      <c r="H270" s="1" t="s">
        <v>39</v>
      </c>
      <c r="I270" s="1" t="s">
        <v>27</v>
      </c>
      <c r="J270" s="1" t="s">
        <v>1006</v>
      </c>
      <c r="K270" s="1" t="s">
        <v>494</v>
      </c>
      <c r="L270">
        <v>45231</v>
      </c>
      <c r="M270" s="1" t="s">
        <v>10</v>
      </c>
      <c r="N270" s="1" t="s">
        <v>1007</v>
      </c>
      <c r="O270" s="1" t="s">
        <v>43</v>
      </c>
      <c r="P270" s="1" t="s">
        <v>56</v>
      </c>
      <c r="Q270" s="1" t="s">
        <v>1008</v>
      </c>
      <c r="R270">
        <v>37.207999999999998</v>
      </c>
    </row>
    <row r="271" spans="1:18" x14ac:dyDescent="0.3">
      <c r="A271">
        <v>270</v>
      </c>
      <c r="B271" s="1" t="s">
        <v>1003</v>
      </c>
      <c r="C271" s="2">
        <v>43443</v>
      </c>
      <c r="D271" s="2">
        <v>43447</v>
      </c>
      <c r="E271" s="1" t="s">
        <v>47</v>
      </c>
      <c r="F271" s="1" t="s">
        <v>1004</v>
      </c>
      <c r="G271" s="1" t="s">
        <v>1005</v>
      </c>
      <c r="H271" s="1" t="s">
        <v>39</v>
      </c>
      <c r="I271" s="1" t="s">
        <v>27</v>
      </c>
      <c r="J271" s="1" t="s">
        <v>1006</v>
      </c>
      <c r="K271" s="1" t="s">
        <v>494</v>
      </c>
      <c r="L271">
        <v>45231</v>
      </c>
      <c r="M271" s="1" t="s">
        <v>10</v>
      </c>
      <c r="N271" s="1" t="s">
        <v>1009</v>
      </c>
      <c r="O271" s="1" t="s">
        <v>43</v>
      </c>
      <c r="P271" s="1" t="s">
        <v>169</v>
      </c>
      <c r="Q271" s="1" t="s">
        <v>1010</v>
      </c>
      <c r="R271">
        <v>57.576000000000001</v>
      </c>
    </row>
    <row r="272" spans="1:18" x14ac:dyDescent="0.3">
      <c r="A272">
        <v>271</v>
      </c>
      <c r="B272" s="1" t="s">
        <v>1011</v>
      </c>
      <c r="C272" s="2">
        <v>43462</v>
      </c>
      <c r="D272" s="2">
        <v>43467</v>
      </c>
      <c r="E272" s="1" t="s">
        <v>23</v>
      </c>
      <c r="F272" s="1" t="s">
        <v>1012</v>
      </c>
      <c r="G272" s="1" t="s">
        <v>1013</v>
      </c>
      <c r="H272" s="1" t="s">
        <v>39</v>
      </c>
      <c r="I272" s="1" t="s">
        <v>27</v>
      </c>
      <c r="J272" s="1" t="s">
        <v>124</v>
      </c>
      <c r="K272" s="1" t="s">
        <v>41</v>
      </c>
      <c r="L272">
        <v>94110</v>
      </c>
      <c r="M272" s="1" t="s">
        <v>9</v>
      </c>
      <c r="N272" s="1" t="s">
        <v>1014</v>
      </c>
      <c r="O272" s="1" t="s">
        <v>43</v>
      </c>
      <c r="P272" s="1" t="s">
        <v>56</v>
      </c>
      <c r="Q272" s="1" t="s">
        <v>1015</v>
      </c>
      <c r="R272">
        <v>725.84</v>
      </c>
    </row>
    <row r="273" spans="1:18" x14ac:dyDescent="0.3">
      <c r="A273">
        <v>272</v>
      </c>
      <c r="B273" s="1" t="s">
        <v>1016</v>
      </c>
      <c r="C273" s="2">
        <v>42581</v>
      </c>
      <c r="D273" s="2">
        <v>42582</v>
      </c>
      <c r="E273" s="1" t="s">
        <v>184</v>
      </c>
      <c r="F273" s="1" t="s">
        <v>597</v>
      </c>
      <c r="G273" s="1" t="s">
        <v>598</v>
      </c>
      <c r="H273" s="1" t="s">
        <v>26</v>
      </c>
      <c r="I273" s="1" t="s">
        <v>27</v>
      </c>
      <c r="J273" s="1" t="s">
        <v>124</v>
      </c>
      <c r="K273" s="1" t="s">
        <v>41</v>
      </c>
      <c r="L273">
        <v>94109</v>
      </c>
      <c r="M273" s="1" t="s">
        <v>9</v>
      </c>
      <c r="N273" s="1" t="s">
        <v>1017</v>
      </c>
      <c r="O273" s="1" t="s">
        <v>68</v>
      </c>
      <c r="P273" s="1" t="s">
        <v>157</v>
      </c>
      <c r="Q273" s="1" t="s">
        <v>1018</v>
      </c>
      <c r="R273">
        <v>209.93</v>
      </c>
    </row>
    <row r="274" spans="1:18" x14ac:dyDescent="0.3">
      <c r="A274">
        <v>273</v>
      </c>
      <c r="B274" s="1" t="s">
        <v>1016</v>
      </c>
      <c r="C274" s="2">
        <v>42581</v>
      </c>
      <c r="D274" s="2">
        <v>42582</v>
      </c>
      <c r="E274" s="1" t="s">
        <v>184</v>
      </c>
      <c r="F274" s="1" t="s">
        <v>597</v>
      </c>
      <c r="G274" s="1" t="s">
        <v>598</v>
      </c>
      <c r="H274" s="1" t="s">
        <v>26</v>
      </c>
      <c r="I274" s="1" t="s">
        <v>27</v>
      </c>
      <c r="J274" s="1" t="s">
        <v>124</v>
      </c>
      <c r="K274" s="1" t="s">
        <v>41</v>
      </c>
      <c r="L274">
        <v>94109</v>
      </c>
      <c r="M274" s="1" t="s">
        <v>9</v>
      </c>
      <c r="N274" s="1" t="s">
        <v>1019</v>
      </c>
      <c r="O274" s="1" t="s">
        <v>5</v>
      </c>
      <c r="P274" s="1" t="s">
        <v>62</v>
      </c>
      <c r="Q274" s="1" t="s">
        <v>1020</v>
      </c>
      <c r="R274">
        <v>5.28</v>
      </c>
    </row>
    <row r="275" spans="1:18" x14ac:dyDescent="0.3">
      <c r="A275">
        <v>274</v>
      </c>
      <c r="B275" s="1" t="s">
        <v>1016</v>
      </c>
      <c r="C275" s="2">
        <v>42581</v>
      </c>
      <c r="D275" s="2">
        <v>42582</v>
      </c>
      <c r="E275" s="1" t="s">
        <v>184</v>
      </c>
      <c r="F275" s="1" t="s">
        <v>597</v>
      </c>
      <c r="G275" s="1" t="s">
        <v>598</v>
      </c>
      <c r="H275" s="1" t="s">
        <v>26</v>
      </c>
      <c r="I275" s="1" t="s">
        <v>27</v>
      </c>
      <c r="J275" s="1" t="s">
        <v>124</v>
      </c>
      <c r="K275" s="1" t="s">
        <v>41</v>
      </c>
      <c r="L275">
        <v>94109</v>
      </c>
      <c r="M275" s="1" t="s">
        <v>9</v>
      </c>
      <c r="N275" s="1" t="s">
        <v>1021</v>
      </c>
      <c r="O275" s="1" t="s">
        <v>43</v>
      </c>
      <c r="P275" s="1" t="s">
        <v>72</v>
      </c>
      <c r="Q275" s="1" t="s">
        <v>1022</v>
      </c>
      <c r="R275">
        <v>10.92</v>
      </c>
    </row>
    <row r="276" spans="1:18" x14ac:dyDescent="0.3">
      <c r="A276">
        <v>275</v>
      </c>
      <c r="B276" s="1" t="s">
        <v>1023</v>
      </c>
      <c r="C276" s="2">
        <v>43359</v>
      </c>
      <c r="D276" s="2">
        <v>43360</v>
      </c>
      <c r="E276" s="1" t="s">
        <v>184</v>
      </c>
      <c r="F276" s="1" t="s">
        <v>1024</v>
      </c>
      <c r="G276" s="1" t="s">
        <v>1025</v>
      </c>
      <c r="H276" s="1" t="s">
        <v>39</v>
      </c>
      <c r="I276" s="1" t="s">
        <v>27</v>
      </c>
      <c r="J276" s="1" t="s">
        <v>1026</v>
      </c>
      <c r="K276" s="1" t="s">
        <v>41</v>
      </c>
      <c r="L276">
        <v>90301</v>
      </c>
      <c r="M276" s="1" t="s">
        <v>9</v>
      </c>
      <c r="N276" s="1" t="s">
        <v>1027</v>
      </c>
      <c r="O276" s="1" t="s">
        <v>43</v>
      </c>
      <c r="P276" s="1" t="s">
        <v>87</v>
      </c>
      <c r="Q276" s="1" t="s">
        <v>1028</v>
      </c>
      <c r="R276">
        <v>8.82</v>
      </c>
    </row>
    <row r="277" spans="1:18" x14ac:dyDescent="0.3">
      <c r="A277">
        <v>276</v>
      </c>
      <c r="B277" s="1" t="s">
        <v>1023</v>
      </c>
      <c r="C277" s="2">
        <v>43359</v>
      </c>
      <c r="D277" s="2">
        <v>43360</v>
      </c>
      <c r="E277" s="1" t="s">
        <v>184</v>
      </c>
      <c r="F277" s="1" t="s">
        <v>1024</v>
      </c>
      <c r="G277" s="1" t="s">
        <v>1025</v>
      </c>
      <c r="H277" s="1" t="s">
        <v>39</v>
      </c>
      <c r="I277" s="1" t="s">
        <v>27</v>
      </c>
      <c r="J277" s="1" t="s">
        <v>1026</v>
      </c>
      <c r="K277" s="1" t="s">
        <v>41</v>
      </c>
      <c r="L277">
        <v>90301</v>
      </c>
      <c r="M277" s="1" t="s">
        <v>9</v>
      </c>
      <c r="N277" s="1" t="s">
        <v>1029</v>
      </c>
      <c r="O277" s="1" t="s">
        <v>43</v>
      </c>
      <c r="P277" s="1" t="s">
        <v>65</v>
      </c>
      <c r="Q277" s="1" t="s">
        <v>1030</v>
      </c>
      <c r="R277">
        <v>5.98</v>
      </c>
    </row>
    <row r="278" spans="1:18" x14ac:dyDescent="0.3">
      <c r="A278">
        <v>277</v>
      </c>
      <c r="B278" s="1" t="s">
        <v>1031</v>
      </c>
      <c r="C278" s="2">
        <v>43386</v>
      </c>
      <c r="D278" s="2">
        <v>43390</v>
      </c>
      <c r="E278" s="1" t="s">
        <v>47</v>
      </c>
      <c r="F278" s="1" t="s">
        <v>1032</v>
      </c>
      <c r="G278" s="1" t="s">
        <v>1033</v>
      </c>
      <c r="H278" s="1" t="s">
        <v>39</v>
      </c>
      <c r="I278" s="1" t="s">
        <v>27</v>
      </c>
      <c r="J278" s="1" t="s">
        <v>143</v>
      </c>
      <c r="K278" s="1" t="s">
        <v>144</v>
      </c>
      <c r="L278">
        <v>19140</v>
      </c>
      <c r="M278" s="1" t="s">
        <v>10</v>
      </c>
      <c r="N278" s="1" t="s">
        <v>1034</v>
      </c>
      <c r="O278" s="1" t="s">
        <v>43</v>
      </c>
      <c r="P278" s="1" t="s">
        <v>87</v>
      </c>
      <c r="Q278" s="1" t="s">
        <v>1035</v>
      </c>
      <c r="R278">
        <v>11.648</v>
      </c>
    </row>
    <row r="279" spans="1:18" x14ac:dyDescent="0.3">
      <c r="A279">
        <v>278</v>
      </c>
      <c r="B279" s="1" t="s">
        <v>1031</v>
      </c>
      <c r="C279" s="2">
        <v>43386</v>
      </c>
      <c r="D279" s="2">
        <v>43390</v>
      </c>
      <c r="E279" s="1" t="s">
        <v>47</v>
      </c>
      <c r="F279" s="1" t="s">
        <v>1032</v>
      </c>
      <c r="G279" s="1" t="s">
        <v>1033</v>
      </c>
      <c r="H279" s="1" t="s">
        <v>39</v>
      </c>
      <c r="I279" s="1" t="s">
        <v>27</v>
      </c>
      <c r="J279" s="1" t="s">
        <v>143</v>
      </c>
      <c r="K279" s="1" t="s">
        <v>144</v>
      </c>
      <c r="L279">
        <v>19140</v>
      </c>
      <c r="M279" s="1" t="s">
        <v>10</v>
      </c>
      <c r="N279" s="1" t="s">
        <v>1036</v>
      </c>
      <c r="O279" s="1" t="s">
        <v>43</v>
      </c>
      <c r="P279" s="1" t="s">
        <v>87</v>
      </c>
      <c r="Q279" s="1" t="s">
        <v>1037</v>
      </c>
      <c r="R279">
        <v>18.175999999999998</v>
      </c>
    </row>
    <row r="280" spans="1:18" x14ac:dyDescent="0.3">
      <c r="A280">
        <v>279</v>
      </c>
      <c r="B280" s="1" t="s">
        <v>1031</v>
      </c>
      <c r="C280" s="2">
        <v>43386</v>
      </c>
      <c r="D280" s="2">
        <v>43390</v>
      </c>
      <c r="E280" s="1" t="s">
        <v>47</v>
      </c>
      <c r="F280" s="1" t="s">
        <v>1032</v>
      </c>
      <c r="G280" s="1" t="s">
        <v>1033</v>
      </c>
      <c r="H280" s="1" t="s">
        <v>39</v>
      </c>
      <c r="I280" s="1" t="s">
        <v>27</v>
      </c>
      <c r="J280" s="1" t="s">
        <v>143</v>
      </c>
      <c r="K280" s="1" t="s">
        <v>144</v>
      </c>
      <c r="L280">
        <v>19140</v>
      </c>
      <c r="M280" s="1" t="s">
        <v>10</v>
      </c>
      <c r="N280" s="1" t="s">
        <v>1038</v>
      </c>
      <c r="O280" s="1" t="s">
        <v>43</v>
      </c>
      <c r="P280" s="1" t="s">
        <v>56</v>
      </c>
      <c r="Q280" s="1" t="s">
        <v>1039</v>
      </c>
      <c r="R280">
        <v>59.712000000000003</v>
      </c>
    </row>
    <row r="281" spans="1:18" x14ac:dyDescent="0.3">
      <c r="A281">
        <v>280</v>
      </c>
      <c r="B281" s="1" t="s">
        <v>1031</v>
      </c>
      <c r="C281" s="2">
        <v>43386</v>
      </c>
      <c r="D281" s="2">
        <v>43390</v>
      </c>
      <c r="E281" s="1" t="s">
        <v>47</v>
      </c>
      <c r="F281" s="1" t="s">
        <v>1032</v>
      </c>
      <c r="G281" s="1" t="s">
        <v>1033</v>
      </c>
      <c r="H281" s="1" t="s">
        <v>39</v>
      </c>
      <c r="I281" s="1" t="s">
        <v>27</v>
      </c>
      <c r="J281" s="1" t="s">
        <v>143</v>
      </c>
      <c r="K281" s="1" t="s">
        <v>144</v>
      </c>
      <c r="L281">
        <v>19140</v>
      </c>
      <c r="M281" s="1" t="s">
        <v>10</v>
      </c>
      <c r="N281" s="1" t="s">
        <v>1040</v>
      </c>
      <c r="O281" s="1" t="s">
        <v>43</v>
      </c>
      <c r="P281" s="1" t="s">
        <v>44</v>
      </c>
      <c r="Q281" s="1" t="s">
        <v>1041</v>
      </c>
      <c r="R281">
        <v>24.84</v>
      </c>
    </row>
    <row r="282" spans="1:18" x14ac:dyDescent="0.3">
      <c r="A282">
        <v>281</v>
      </c>
      <c r="B282" s="1" t="s">
        <v>1042</v>
      </c>
      <c r="C282" s="2">
        <v>42639</v>
      </c>
      <c r="D282" s="2">
        <v>42641</v>
      </c>
      <c r="E282" s="1" t="s">
        <v>23</v>
      </c>
      <c r="F282" s="1" t="s">
        <v>515</v>
      </c>
      <c r="G282" s="1" t="s">
        <v>516</v>
      </c>
      <c r="H282" s="1" t="s">
        <v>26</v>
      </c>
      <c r="I282" s="1" t="s">
        <v>27</v>
      </c>
      <c r="J282" s="1" t="s">
        <v>180</v>
      </c>
      <c r="K282" s="1" t="s">
        <v>101</v>
      </c>
      <c r="L282">
        <v>77070</v>
      </c>
      <c r="M282" s="1" t="s">
        <v>102</v>
      </c>
      <c r="N282" s="1" t="s">
        <v>1043</v>
      </c>
      <c r="O282" s="1" t="s">
        <v>43</v>
      </c>
      <c r="P282" s="1" t="s">
        <v>72</v>
      </c>
      <c r="Q282" s="1" t="s">
        <v>1044</v>
      </c>
      <c r="R282">
        <v>2.08</v>
      </c>
    </row>
    <row r="283" spans="1:18" x14ac:dyDescent="0.3">
      <c r="A283">
        <v>282</v>
      </c>
      <c r="B283" s="1" t="s">
        <v>1042</v>
      </c>
      <c r="C283" s="2">
        <v>42639</v>
      </c>
      <c r="D283" s="2">
        <v>42641</v>
      </c>
      <c r="E283" s="1" t="s">
        <v>23</v>
      </c>
      <c r="F283" s="1" t="s">
        <v>515</v>
      </c>
      <c r="G283" s="1" t="s">
        <v>516</v>
      </c>
      <c r="H283" s="1" t="s">
        <v>26</v>
      </c>
      <c r="I283" s="1" t="s">
        <v>27</v>
      </c>
      <c r="J283" s="1" t="s">
        <v>180</v>
      </c>
      <c r="K283" s="1" t="s">
        <v>101</v>
      </c>
      <c r="L283">
        <v>77070</v>
      </c>
      <c r="M283" s="1" t="s">
        <v>102</v>
      </c>
      <c r="N283" s="1" t="s">
        <v>1045</v>
      </c>
      <c r="O283" s="1" t="s">
        <v>68</v>
      </c>
      <c r="P283" s="1" t="s">
        <v>69</v>
      </c>
      <c r="Q283" s="1" t="s">
        <v>1046</v>
      </c>
      <c r="R283">
        <v>1114.4000000000001</v>
      </c>
    </row>
    <row r="284" spans="1:18" x14ac:dyDescent="0.3">
      <c r="A284">
        <v>283</v>
      </c>
      <c r="B284" s="1" t="s">
        <v>1047</v>
      </c>
      <c r="C284" s="2">
        <v>42676</v>
      </c>
      <c r="D284" s="2">
        <v>42680</v>
      </c>
      <c r="E284" s="1" t="s">
        <v>47</v>
      </c>
      <c r="F284" s="1" t="s">
        <v>1048</v>
      </c>
      <c r="G284" s="1" t="s">
        <v>1049</v>
      </c>
      <c r="H284" s="1" t="s">
        <v>26</v>
      </c>
      <c r="I284" s="1" t="s">
        <v>27</v>
      </c>
      <c r="J284" s="1" t="s">
        <v>40</v>
      </c>
      <c r="K284" s="1" t="s">
        <v>41</v>
      </c>
      <c r="L284">
        <v>90004</v>
      </c>
      <c r="M284" s="1" t="s">
        <v>9</v>
      </c>
      <c r="N284" s="1" t="s">
        <v>1050</v>
      </c>
      <c r="O284" s="1" t="s">
        <v>5</v>
      </c>
      <c r="P284" s="1" t="s">
        <v>53</v>
      </c>
      <c r="Q284" s="1" t="s">
        <v>1051</v>
      </c>
      <c r="R284">
        <v>1038.8399999999999</v>
      </c>
    </row>
    <row r="285" spans="1:18" x14ac:dyDescent="0.3">
      <c r="A285">
        <v>284</v>
      </c>
      <c r="B285" s="1" t="s">
        <v>1052</v>
      </c>
      <c r="C285" s="2">
        <v>42639</v>
      </c>
      <c r="D285" s="2">
        <v>42645</v>
      </c>
      <c r="E285" s="1" t="s">
        <v>47</v>
      </c>
      <c r="F285" s="1" t="s">
        <v>160</v>
      </c>
      <c r="G285" s="1" t="s">
        <v>161</v>
      </c>
      <c r="H285" s="1" t="s">
        <v>26</v>
      </c>
      <c r="I285" s="1" t="s">
        <v>27</v>
      </c>
      <c r="J285" s="1" t="s">
        <v>415</v>
      </c>
      <c r="K285" s="1" t="s">
        <v>416</v>
      </c>
      <c r="L285">
        <v>97206</v>
      </c>
      <c r="M285" s="1" t="s">
        <v>9</v>
      </c>
      <c r="N285" s="1" t="s">
        <v>1053</v>
      </c>
      <c r="O285" s="1" t="s">
        <v>43</v>
      </c>
      <c r="P285" s="1" t="s">
        <v>87</v>
      </c>
      <c r="Q285" s="1" t="s">
        <v>182</v>
      </c>
      <c r="R285">
        <v>141.76</v>
      </c>
    </row>
    <row r="286" spans="1:18" x14ac:dyDescent="0.3">
      <c r="A286">
        <v>285</v>
      </c>
      <c r="B286" s="1" t="s">
        <v>1052</v>
      </c>
      <c r="C286" s="2">
        <v>42639</v>
      </c>
      <c r="D286" s="2">
        <v>42645</v>
      </c>
      <c r="E286" s="1" t="s">
        <v>47</v>
      </c>
      <c r="F286" s="1" t="s">
        <v>160</v>
      </c>
      <c r="G286" s="1" t="s">
        <v>161</v>
      </c>
      <c r="H286" s="1" t="s">
        <v>26</v>
      </c>
      <c r="I286" s="1" t="s">
        <v>27</v>
      </c>
      <c r="J286" s="1" t="s">
        <v>415</v>
      </c>
      <c r="K286" s="1" t="s">
        <v>416</v>
      </c>
      <c r="L286">
        <v>97206</v>
      </c>
      <c r="M286" s="1" t="s">
        <v>9</v>
      </c>
      <c r="N286" s="1" t="s">
        <v>1054</v>
      </c>
      <c r="O286" s="1" t="s">
        <v>68</v>
      </c>
      <c r="P286" s="1" t="s">
        <v>157</v>
      </c>
      <c r="Q286" s="1" t="s">
        <v>1055</v>
      </c>
      <c r="R286">
        <v>239.8</v>
      </c>
    </row>
    <row r="287" spans="1:18" x14ac:dyDescent="0.3">
      <c r="A287">
        <v>286</v>
      </c>
      <c r="B287" s="1" t="s">
        <v>1052</v>
      </c>
      <c r="C287" s="2">
        <v>42639</v>
      </c>
      <c r="D287" s="2">
        <v>42645</v>
      </c>
      <c r="E287" s="1" t="s">
        <v>47</v>
      </c>
      <c r="F287" s="1" t="s">
        <v>160</v>
      </c>
      <c r="G287" s="1" t="s">
        <v>161</v>
      </c>
      <c r="H287" s="1" t="s">
        <v>26</v>
      </c>
      <c r="I287" s="1" t="s">
        <v>27</v>
      </c>
      <c r="J287" s="1" t="s">
        <v>415</v>
      </c>
      <c r="K287" s="1" t="s">
        <v>416</v>
      </c>
      <c r="L287">
        <v>97206</v>
      </c>
      <c r="M287" s="1" t="s">
        <v>9</v>
      </c>
      <c r="N287" s="1" t="s">
        <v>1056</v>
      </c>
      <c r="O287" s="1" t="s">
        <v>43</v>
      </c>
      <c r="P287" s="1" t="s">
        <v>87</v>
      </c>
      <c r="Q287" s="1" t="s">
        <v>1057</v>
      </c>
      <c r="R287">
        <v>31.103999999999999</v>
      </c>
    </row>
    <row r="288" spans="1:18" x14ac:dyDescent="0.3">
      <c r="A288">
        <v>287</v>
      </c>
      <c r="B288" s="1" t="s">
        <v>1058</v>
      </c>
      <c r="C288" s="2">
        <v>43087</v>
      </c>
      <c r="D288" s="2">
        <v>43089</v>
      </c>
      <c r="E288" s="1" t="s">
        <v>23</v>
      </c>
      <c r="F288" s="1" t="s">
        <v>1059</v>
      </c>
      <c r="G288" s="1" t="s">
        <v>1060</v>
      </c>
      <c r="H288" s="1" t="s">
        <v>39</v>
      </c>
      <c r="I288" s="1" t="s">
        <v>27</v>
      </c>
      <c r="J288" s="1" t="s">
        <v>1061</v>
      </c>
      <c r="K288" s="1" t="s">
        <v>51</v>
      </c>
      <c r="L288">
        <v>33319</v>
      </c>
      <c r="M288" s="1" t="s">
        <v>8</v>
      </c>
      <c r="N288" s="1" t="s">
        <v>1062</v>
      </c>
      <c r="O288" s="1" t="s">
        <v>43</v>
      </c>
      <c r="P288" s="1" t="s">
        <v>72</v>
      </c>
      <c r="Q288" s="1" t="s">
        <v>1063</v>
      </c>
      <c r="R288">
        <v>254.05799999999999</v>
      </c>
    </row>
    <row r="289" spans="1:18" x14ac:dyDescent="0.3">
      <c r="A289">
        <v>288</v>
      </c>
      <c r="B289" s="1" t="s">
        <v>1058</v>
      </c>
      <c r="C289" s="2">
        <v>43087</v>
      </c>
      <c r="D289" s="2">
        <v>43089</v>
      </c>
      <c r="E289" s="1" t="s">
        <v>23</v>
      </c>
      <c r="F289" s="1" t="s">
        <v>1059</v>
      </c>
      <c r="G289" s="1" t="s">
        <v>1060</v>
      </c>
      <c r="H289" s="1" t="s">
        <v>39</v>
      </c>
      <c r="I289" s="1" t="s">
        <v>27</v>
      </c>
      <c r="J289" s="1" t="s">
        <v>1061</v>
      </c>
      <c r="K289" s="1" t="s">
        <v>51</v>
      </c>
      <c r="L289">
        <v>33319</v>
      </c>
      <c r="M289" s="1" t="s">
        <v>8</v>
      </c>
      <c r="N289" s="1" t="s">
        <v>711</v>
      </c>
      <c r="O289" s="1" t="s">
        <v>43</v>
      </c>
      <c r="P289" s="1" t="s">
        <v>75</v>
      </c>
      <c r="Q289" s="1" t="s">
        <v>712</v>
      </c>
      <c r="R289">
        <v>194.52799999999999</v>
      </c>
    </row>
    <row r="290" spans="1:18" x14ac:dyDescent="0.3">
      <c r="A290">
        <v>289</v>
      </c>
      <c r="B290" s="1" t="s">
        <v>1058</v>
      </c>
      <c r="C290" s="2">
        <v>43087</v>
      </c>
      <c r="D290" s="2">
        <v>43089</v>
      </c>
      <c r="E290" s="1" t="s">
        <v>23</v>
      </c>
      <c r="F290" s="1" t="s">
        <v>1059</v>
      </c>
      <c r="G290" s="1" t="s">
        <v>1060</v>
      </c>
      <c r="H290" s="1" t="s">
        <v>39</v>
      </c>
      <c r="I290" s="1" t="s">
        <v>27</v>
      </c>
      <c r="J290" s="1" t="s">
        <v>1061</v>
      </c>
      <c r="K290" s="1" t="s">
        <v>51</v>
      </c>
      <c r="L290">
        <v>33319</v>
      </c>
      <c r="M290" s="1" t="s">
        <v>8</v>
      </c>
      <c r="N290" s="1" t="s">
        <v>1064</v>
      </c>
      <c r="O290" s="1" t="s">
        <v>43</v>
      </c>
      <c r="P290" s="1" t="s">
        <v>575</v>
      </c>
      <c r="Q290" s="1" t="s">
        <v>1065</v>
      </c>
      <c r="R290">
        <v>961.48</v>
      </c>
    </row>
    <row r="291" spans="1:18" x14ac:dyDescent="0.3">
      <c r="A291">
        <v>290</v>
      </c>
      <c r="B291" s="1" t="s">
        <v>1066</v>
      </c>
      <c r="C291" s="2">
        <v>43059</v>
      </c>
      <c r="D291" s="2">
        <v>43063</v>
      </c>
      <c r="E291" s="1" t="s">
        <v>23</v>
      </c>
      <c r="F291" s="1" t="s">
        <v>1067</v>
      </c>
      <c r="G291" s="1" t="s">
        <v>1068</v>
      </c>
      <c r="H291" s="1" t="s">
        <v>99</v>
      </c>
      <c r="I291" s="1" t="s">
        <v>27</v>
      </c>
      <c r="J291" s="1" t="s">
        <v>493</v>
      </c>
      <c r="K291" s="1" t="s">
        <v>494</v>
      </c>
      <c r="L291">
        <v>43229</v>
      </c>
      <c r="M291" s="1" t="s">
        <v>10</v>
      </c>
      <c r="N291" s="1" t="s">
        <v>1069</v>
      </c>
      <c r="O291" s="1" t="s">
        <v>43</v>
      </c>
      <c r="P291" s="1" t="s">
        <v>265</v>
      </c>
      <c r="Q291" s="1" t="s">
        <v>1070</v>
      </c>
      <c r="R291">
        <v>19.096</v>
      </c>
    </row>
    <row r="292" spans="1:18" x14ac:dyDescent="0.3">
      <c r="A292">
        <v>291</v>
      </c>
      <c r="B292" s="1" t="s">
        <v>1066</v>
      </c>
      <c r="C292" s="2">
        <v>43059</v>
      </c>
      <c r="D292" s="2">
        <v>43063</v>
      </c>
      <c r="E292" s="1" t="s">
        <v>23</v>
      </c>
      <c r="F292" s="1" t="s">
        <v>1067</v>
      </c>
      <c r="G292" s="1" t="s">
        <v>1068</v>
      </c>
      <c r="H292" s="1" t="s">
        <v>99</v>
      </c>
      <c r="I292" s="1" t="s">
        <v>27</v>
      </c>
      <c r="J292" s="1" t="s">
        <v>493</v>
      </c>
      <c r="K292" s="1" t="s">
        <v>494</v>
      </c>
      <c r="L292">
        <v>43229</v>
      </c>
      <c r="M292" s="1" t="s">
        <v>10</v>
      </c>
      <c r="N292" s="1" t="s">
        <v>1071</v>
      </c>
      <c r="O292" s="1" t="s">
        <v>43</v>
      </c>
      <c r="P292" s="1" t="s">
        <v>44</v>
      </c>
      <c r="Q292" s="1" t="s">
        <v>1072</v>
      </c>
      <c r="R292">
        <v>18.495999999999999</v>
      </c>
    </row>
    <row r="293" spans="1:18" x14ac:dyDescent="0.3">
      <c r="A293">
        <v>292</v>
      </c>
      <c r="B293" s="1" t="s">
        <v>1066</v>
      </c>
      <c r="C293" s="2">
        <v>43059</v>
      </c>
      <c r="D293" s="2">
        <v>43063</v>
      </c>
      <c r="E293" s="1" t="s">
        <v>23</v>
      </c>
      <c r="F293" s="1" t="s">
        <v>1067</v>
      </c>
      <c r="G293" s="1" t="s">
        <v>1068</v>
      </c>
      <c r="H293" s="1" t="s">
        <v>99</v>
      </c>
      <c r="I293" s="1" t="s">
        <v>27</v>
      </c>
      <c r="J293" s="1" t="s">
        <v>493</v>
      </c>
      <c r="K293" s="1" t="s">
        <v>494</v>
      </c>
      <c r="L293">
        <v>43229</v>
      </c>
      <c r="M293" s="1" t="s">
        <v>10</v>
      </c>
      <c r="N293" s="1" t="s">
        <v>1073</v>
      </c>
      <c r="O293" s="1" t="s">
        <v>68</v>
      </c>
      <c r="P293" s="1" t="s">
        <v>157</v>
      </c>
      <c r="Q293" s="1" t="s">
        <v>1074</v>
      </c>
      <c r="R293">
        <v>255.98400000000001</v>
      </c>
    </row>
    <row r="294" spans="1:18" x14ac:dyDescent="0.3">
      <c r="A294">
        <v>293</v>
      </c>
      <c r="B294" s="1" t="s">
        <v>1066</v>
      </c>
      <c r="C294" s="2">
        <v>43059</v>
      </c>
      <c r="D294" s="2">
        <v>43063</v>
      </c>
      <c r="E294" s="1" t="s">
        <v>23</v>
      </c>
      <c r="F294" s="1" t="s">
        <v>1067</v>
      </c>
      <c r="G294" s="1" t="s">
        <v>1068</v>
      </c>
      <c r="H294" s="1" t="s">
        <v>99</v>
      </c>
      <c r="I294" s="1" t="s">
        <v>27</v>
      </c>
      <c r="J294" s="1" t="s">
        <v>493</v>
      </c>
      <c r="K294" s="1" t="s">
        <v>494</v>
      </c>
      <c r="L294">
        <v>43229</v>
      </c>
      <c r="M294" s="1" t="s">
        <v>10</v>
      </c>
      <c r="N294" s="1" t="s">
        <v>1075</v>
      </c>
      <c r="O294" s="1" t="s">
        <v>5</v>
      </c>
      <c r="P294" s="1" t="s">
        <v>31</v>
      </c>
      <c r="Q294" s="1" t="s">
        <v>1076</v>
      </c>
      <c r="R294">
        <v>86.97</v>
      </c>
    </row>
    <row r="295" spans="1:18" x14ac:dyDescent="0.3">
      <c r="A295">
        <v>294</v>
      </c>
      <c r="B295" s="1" t="s">
        <v>1077</v>
      </c>
      <c r="C295" s="2">
        <v>42364</v>
      </c>
      <c r="D295" s="2">
        <v>42366</v>
      </c>
      <c r="E295" s="1" t="s">
        <v>184</v>
      </c>
      <c r="F295" s="1" t="s">
        <v>1078</v>
      </c>
      <c r="G295" s="1" t="s">
        <v>1079</v>
      </c>
      <c r="H295" s="1" t="s">
        <v>39</v>
      </c>
      <c r="I295" s="1" t="s">
        <v>27</v>
      </c>
      <c r="J295" s="1" t="s">
        <v>1080</v>
      </c>
      <c r="K295" s="1" t="s">
        <v>453</v>
      </c>
      <c r="L295">
        <v>80906</v>
      </c>
      <c r="M295" s="1" t="s">
        <v>9</v>
      </c>
      <c r="N295" s="1" t="s">
        <v>1081</v>
      </c>
      <c r="O295" s="1" t="s">
        <v>5</v>
      </c>
      <c r="P295" s="1" t="s">
        <v>62</v>
      </c>
      <c r="Q295" s="1" t="s">
        <v>1082</v>
      </c>
      <c r="R295">
        <v>300.416</v>
      </c>
    </row>
    <row r="296" spans="1:18" x14ac:dyDescent="0.3">
      <c r="A296">
        <v>295</v>
      </c>
      <c r="B296" s="1" t="s">
        <v>1077</v>
      </c>
      <c r="C296" s="2">
        <v>42364</v>
      </c>
      <c r="D296" s="2">
        <v>42366</v>
      </c>
      <c r="E296" s="1" t="s">
        <v>184</v>
      </c>
      <c r="F296" s="1" t="s">
        <v>1078</v>
      </c>
      <c r="G296" s="1" t="s">
        <v>1079</v>
      </c>
      <c r="H296" s="1" t="s">
        <v>39</v>
      </c>
      <c r="I296" s="1" t="s">
        <v>27</v>
      </c>
      <c r="J296" s="1" t="s">
        <v>1080</v>
      </c>
      <c r="K296" s="1" t="s">
        <v>453</v>
      </c>
      <c r="L296">
        <v>80906</v>
      </c>
      <c r="M296" s="1" t="s">
        <v>9</v>
      </c>
      <c r="N296" s="1" t="s">
        <v>1083</v>
      </c>
      <c r="O296" s="1" t="s">
        <v>5</v>
      </c>
      <c r="P296" s="1" t="s">
        <v>34</v>
      </c>
      <c r="Q296" s="1" t="s">
        <v>1084</v>
      </c>
      <c r="R296">
        <v>230.352</v>
      </c>
    </row>
    <row r="297" spans="1:18" x14ac:dyDescent="0.3">
      <c r="A297">
        <v>296</v>
      </c>
      <c r="B297" s="1" t="s">
        <v>1077</v>
      </c>
      <c r="C297" s="2">
        <v>42364</v>
      </c>
      <c r="D297" s="2">
        <v>42366</v>
      </c>
      <c r="E297" s="1" t="s">
        <v>184</v>
      </c>
      <c r="F297" s="1" t="s">
        <v>1078</v>
      </c>
      <c r="G297" s="1" t="s">
        <v>1079</v>
      </c>
      <c r="H297" s="1" t="s">
        <v>39</v>
      </c>
      <c r="I297" s="1" t="s">
        <v>27</v>
      </c>
      <c r="J297" s="1" t="s">
        <v>1080</v>
      </c>
      <c r="K297" s="1" t="s">
        <v>453</v>
      </c>
      <c r="L297">
        <v>80906</v>
      </c>
      <c r="M297" s="1" t="s">
        <v>9</v>
      </c>
      <c r="N297" s="1" t="s">
        <v>1085</v>
      </c>
      <c r="O297" s="1" t="s">
        <v>5</v>
      </c>
      <c r="P297" s="1" t="s">
        <v>62</v>
      </c>
      <c r="Q297" s="1" t="s">
        <v>1086</v>
      </c>
      <c r="R297">
        <v>218.352</v>
      </c>
    </row>
    <row r="298" spans="1:18" x14ac:dyDescent="0.3">
      <c r="A298">
        <v>297</v>
      </c>
      <c r="B298" s="1" t="s">
        <v>1077</v>
      </c>
      <c r="C298" s="2">
        <v>42364</v>
      </c>
      <c r="D298" s="2">
        <v>42366</v>
      </c>
      <c r="E298" s="1" t="s">
        <v>184</v>
      </c>
      <c r="F298" s="1" t="s">
        <v>1078</v>
      </c>
      <c r="G298" s="1" t="s">
        <v>1079</v>
      </c>
      <c r="H298" s="1" t="s">
        <v>39</v>
      </c>
      <c r="I298" s="1" t="s">
        <v>27</v>
      </c>
      <c r="J298" s="1" t="s">
        <v>1080</v>
      </c>
      <c r="K298" s="1" t="s">
        <v>453</v>
      </c>
      <c r="L298">
        <v>80906</v>
      </c>
      <c r="M298" s="1" t="s">
        <v>9</v>
      </c>
      <c r="N298" s="1" t="s">
        <v>1087</v>
      </c>
      <c r="O298" s="1" t="s">
        <v>43</v>
      </c>
      <c r="P298" s="1" t="s">
        <v>72</v>
      </c>
      <c r="Q298" s="1" t="s">
        <v>1088</v>
      </c>
      <c r="R298">
        <v>78.599999999999994</v>
      </c>
    </row>
    <row r="299" spans="1:18" x14ac:dyDescent="0.3">
      <c r="A299">
        <v>298</v>
      </c>
      <c r="B299" s="1" t="s">
        <v>1077</v>
      </c>
      <c r="C299" s="2">
        <v>42364</v>
      </c>
      <c r="D299" s="2">
        <v>42366</v>
      </c>
      <c r="E299" s="1" t="s">
        <v>184</v>
      </c>
      <c r="F299" s="1" t="s">
        <v>1078</v>
      </c>
      <c r="G299" s="1" t="s">
        <v>1079</v>
      </c>
      <c r="H299" s="1" t="s">
        <v>39</v>
      </c>
      <c r="I299" s="1" t="s">
        <v>27</v>
      </c>
      <c r="J299" s="1" t="s">
        <v>1080</v>
      </c>
      <c r="K299" s="1" t="s">
        <v>453</v>
      </c>
      <c r="L299">
        <v>80906</v>
      </c>
      <c r="M299" s="1" t="s">
        <v>9</v>
      </c>
      <c r="N299" s="1" t="s">
        <v>1089</v>
      </c>
      <c r="O299" s="1" t="s">
        <v>43</v>
      </c>
      <c r="P299" s="1" t="s">
        <v>265</v>
      </c>
      <c r="Q299" s="1" t="s">
        <v>1090</v>
      </c>
      <c r="R299">
        <v>27.552</v>
      </c>
    </row>
    <row r="300" spans="1:18" x14ac:dyDescent="0.3">
      <c r="A300">
        <v>299</v>
      </c>
      <c r="B300" s="1" t="s">
        <v>1091</v>
      </c>
      <c r="C300" s="2">
        <v>43036</v>
      </c>
      <c r="D300" s="2">
        <v>43042</v>
      </c>
      <c r="E300" s="1" t="s">
        <v>47</v>
      </c>
      <c r="F300" s="1" t="s">
        <v>578</v>
      </c>
      <c r="G300" s="1" t="s">
        <v>579</v>
      </c>
      <c r="H300" s="1" t="s">
        <v>39</v>
      </c>
      <c r="I300" s="1" t="s">
        <v>27</v>
      </c>
      <c r="J300" s="1" t="s">
        <v>1092</v>
      </c>
      <c r="K300" s="1" t="s">
        <v>786</v>
      </c>
      <c r="L300">
        <v>7109</v>
      </c>
      <c r="M300" s="1" t="s">
        <v>10</v>
      </c>
      <c r="N300" s="1" t="s">
        <v>1093</v>
      </c>
      <c r="O300" s="1" t="s">
        <v>43</v>
      </c>
      <c r="P300" s="1" t="s">
        <v>87</v>
      </c>
      <c r="Q300" s="1" t="s">
        <v>1094</v>
      </c>
      <c r="R300">
        <v>32.4</v>
      </c>
    </row>
    <row r="301" spans="1:18" x14ac:dyDescent="0.3">
      <c r="A301">
        <v>300</v>
      </c>
      <c r="B301" s="1" t="s">
        <v>1091</v>
      </c>
      <c r="C301" s="2">
        <v>43036</v>
      </c>
      <c r="D301" s="2">
        <v>43042</v>
      </c>
      <c r="E301" s="1" t="s">
        <v>47</v>
      </c>
      <c r="F301" s="1" t="s">
        <v>578</v>
      </c>
      <c r="G301" s="1" t="s">
        <v>579</v>
      </c>
      <c r="H301" s="1" t="s">
        <v>39</v>
      </c>
      <c r="I301" s="1" t="s">
        <v>27</v>
      </c>
      <c r="J301" s="1" t="s">
        <v>1092</v>
      </c>
      <c r="K301" s="1" t="s">
        <v>786</v>
      </c>
      <c r="L301">
        <v>7109</v>
      </c>
      <c r="M301" s="1" t="s">
        <v>10</v>
      </c>
      <c r="N301" s="1" t="s">
        <v>1095</v>
      </c>
      <c r="O301" s="1" t="s">
        <v>43</v>
      </c>
      <c r="P301" s="1" t="s">
        <v>56</v>
      </c>
      <c r="Q301" s="1" t="s">
        <v>1096</v>
      </c>
      <c r="R301">
        <v>1082.48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0F93-CAA5-4C04-A500-94597FCABF5B}">
  <dimension ref="A1:M6"/>
  <sheetViews>
    <sheetView workbookViewId="0">
      <selection activeCell="M7" sqref="M7"/>
    </sheetView>
  </sheetViews>
  <sheetFormatPr defaultRowHeight="15.05" x14ac:dyDescent="0.3"/>
  <cols>
    <col min="1" max="1" width="12.44140625" bestFit="1" customWidth="1"/>
    <col min="2" max="2" width="11.6640625" bestFit="1" customWidth="1"/>
    <col min="3" max="3" width="12.77734375" bestFit="1" customWidth="1"/>
    <col min="6" max="6" width="13.109375" bestFit="1" customWidth="1"/>
    <col min="7" max="7" width="11.6640625" bestFit="1" customWidth="1"/>
    <col min="9" max="9" width="12.77734375" bestFit="1" customWidth="1"/>
    <col min="10" max="10" width="11.6640625" bestFit="1" customWidth="1"/>
    <col min="12" max="12" width="12.44140625" bestFit="1" customWidth="1"/>
    <col min="13" max="13" width="11.6640625" bestFit="1" customWidth="1"/>
  </cols>
  <sheetData>
    <row r="1" spans="1:13" x14ac:dyDescent="0.3">
      <c r="A1" s="3" t="s">
        <v>1098</v>
      </c>
      <c r="B1" t="s">
        <v>1097</v>
      </c>
      <c r="F1" s="3" t="s">
        <v>1098</v>
      </c>
      <c r="G1" t="s">
        <v>1097</v>
      </c>
      <c r="I1" s="3" t="s">
        <v>1098</v>
      </c>
      <c r="J1" t="s">
        <v>1097</v>
      </c>
      <c r="L1" s="3" t="s">
        <v>1098</v>
      </c>
      <c r="M1" t="s">
        <v>1097</v>
      </c>
    </row>
    <row r="2" spans="1:13" x14ac:dyDescent="0.3">
      <c r="A2" s="4" t="s">
        <v>102</v>
      </c>
      <c r="B2" s="1">
        <v>35738.805199999988</v>
      </c>
      <c r="F2" s="4" t="s">
        <v>5</v>
      </c>
      <c r="G2" s="1">
        <v>28126.361200000003</v>
      </c>
      <c r="I2" s="4" t="s">
        <v>184</v>
      </c>
      <c r="J2" s="1">
        <v>7943.7159999999994</v>
      </c>
      <c r="L2" s="4" t="s">
        <v>26</v>
      </c>
      <c r="M2" s="1">
        <v>43434.500499999973</v>
      </c>
    </row>
    <row r="3" spans="1:13" x14ac:dyDescent="0.3">
      <c r="A3" s="4" t="s">
        <v>10</v>
      </c>
      <c r="B3" s="1">
        <v>13439.848</v>
      </c>
      <c r="F3" s="4" t="s">
        <v>43</v>
      </c>
      <c r="G3" s="1">
        <v>17110.423999999988</v>
      </c>
      <c r="I3" s="4" t="s">
        <v>23</v>
      </c>
      <c r="J3" s="1">
        <v>20087.699000000004</v>
      </c>
      <c r="L3" s="4" t="s">
        <v>39</v>
      </c>
      <c r="M3" s="1">
        <v>22110.681999999997</v>
      </c>
    </row>
    <row r="4" spans="1:13" x14ac:dyDescent="0.3">
      <c r="A4" s="4" t="s">
        <v>8</v>
      </c>
      <c r="B4" s="1">
        <v>8601.6219999999994</v>
      </c>
      <c r="F4" s="4" t="s">
        <v>68</v>
      </c>
      <c r="G4" s="1">
        <v>32667.023999999994</v>
      </c>
      <c r="I4" s="4" t="s">
        <v>47</v>
      </c>
      <c r="J4" s="1">
        <v>49872.394200000032</v>
      </c>
      <c r="L4" s="4" t="s">
        <v>99</v>
      </c>
      <c r="M4" s="1">
        <v>12358.626699999997</v>
      </c>
    </row>
    <row r="5" spans="1:13" x14ac:dyDescent="0.3">
      <c r="A5" s="4" t="s">
        <v>9</v>
      </c>
      <c r="B5" s="1">
        <v>20123.533999999989</v>
      </c>
      <c r="F5" s="4" t="s">
        <v>1099</v>
      </c>
      <c r="G5" s="1">
        <v>77903.809199999989</v>
      </c>
      <c r="I5" s="4" t="s">
        <v>1099</v>
      </c>
      <c r="J5" s="1">
        <v>77903.809200000032</v>
      </c>
      <c r="L5" s="4" t="s">
        <v>1099</v>
      </c>
      <c r="M5" s="1">
        <v>77903.80919999996</v>
      </c>
    </row>
    <row r="6" spans="1:13" x14ac:dyDescent="0.3">
      <c r="A6" s="4" t="s">
        <v>1099</v>
      </c>
      <c r="B6" s="1">
        <v>77903.809199999974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238B-C2F2-4B4D-8A49-2BAE70A0031B}">
  <dimension ref="A2:E3"/>
  <sheetViews>
    <sheetView workbookViewId="0">
      <selection activeCell="I17" sqref="I17"/>
    </sheetView>
  </sheetViews>
  <sheetFormatPr defaultRowHeight="15.05" x14ac:dyDescent="0.3"/>
  <cols>
    <col min="1" max="1" width="19.109375" bestFit="1" customWidth="1"/>
    <col min="2" max="2" width="18.88671875" bestFit="1" customWidth="1"/>
    <col min="3" max="3" width="21.88671875" bestFit="1" customWidth="1"/>
    <col min="5" max="5" width="24.33203125" bestFit="1" customWidth="1"/>
  </cols>
  <sheetData>
    <row r="2" spans="1:5" ht="28.2" x14ac:dyDescent="0.5">
      <c r="A2" s="6" t="s">
        <v>1100</v>
      </c>
      <c r="C2" s="6" t="s">
        <v>1101</v>
      </c>
      <c r="E2" s="6" t="s">
        <v>1102</v>
      </c>
    </row>
    <row r="3" spans="1:5" ht="28.2" x14ac:dyDescent="0.5">
      <c r="A3" s="5">
        <f>SUM(train[Sales])</f>
        <v>77903.809200000003</v>
      </c>
      <c r="C3" s="7">
        <f>COUNTA(train[Order ID])</f>
        <v>300</v>
      </c>
      <c r="E3" s="8">
        <f>AVERAGE(train[Sales])</f>
        <v>259.67936400000002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F77833-622A-44FD-841D-35F48ABE00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Varunkumar V</dc:creator>
  <cp:lastModifiedBy>Varunkumar V</cp:lastModifiedBy>
  <dcterms:created xsi:type="dcterms:W3CDTF">2026-07-20T09:08:15Z</dcterms:created>
  <dcterms:modified xsi:type="dcterms:W3CDTF">2026-07-25T07:20:25Z</dcterms:modified>
</cp:coreProperties>
</file>