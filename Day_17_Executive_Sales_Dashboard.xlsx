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C7308FCF3FD5FA84/Documents/DATA ANALYST JOURNEY/"/>
    </mc:Choice>
  </mc:AlternateContent>
  <xr:revisionPtr revIDLastSave="514" documentId="8_{E597D61B-B569-4E3C-BA08-C56A563D3E5B}" xr6:coauthVersionLast="47" xr6:coauthVersionMax="47" xr10:uidLastSave="{567C46EA-A30D-45DB-A200-86D57DB64B93}"/>
  <bookViews>
    <workbookView xWindow="-113" yWindow="-113" windowWidth="24267" windowHeight="13023" activeTab="4" xr2:uid="{6B39B7DD-9AE4-41BE-898C-A63913B5DBDB}"/>
  </bookViews>
  <sheets>
    <sheet name="Raw_data" sheetId="6" r:id="rId1"/>
    <sheet name="Pivot_Tables" sheetId="2" r:id="rId2"/>
    <sheet name="Dashboard" sheetId="3" r:id="rId3"/>
    <sheet name="KPI" sheetId="4" r:id="rId4"/>
    <sheet name="Business_Insights" sheetId="5" r:id="rId5"/>
  </sheets>
  <definedNames>
    <definedName name="ExternalData_1" localSheetId="0" hidden="1">Raw_data!$A$1:$N$301</definedName>
    <definedName name="Slicer_Product_Category">#N/A</definedName>
    <definedName name="Slicer_Region_and_Sales_Rep">#N/A</definedName>
  </definedNames>
  <calcPr calcId="191029"/>
  <pivotCaches>
    <pivotCache cacheId="3"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4" l="1"/>
  <c r="B5" i="4"/>
  <c r="B4" i="4"/>
  <c r="B3" i="4"/>
  <c r="B2" i="4"/>
  <c r="B5" i="3"/>
  <c r="B3" i="3"/>
  <c r="B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92D40F-8D16-4CA2-AB8A-E20A66FDABF9}"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s>
</file>

<file path=xl/sharedStrings.xml><?xml version="1.0" encoding="utf-8"?>
<sst xmlns="http://schemas.openxmlformats.org/spreadsheetml/2006/main" count="2187" uniqueCount="85">
  <si>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</si>
  <si>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</si>
  <si>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</si>
  <si>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</si>
  <si>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</si>
  <si>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</si>
  <si>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</si>
  <si>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</si>
  <si>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</si>
  <si>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</si>
  <si>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</si>
  <si>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</si>
  <si>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</si>
  <si>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</si>
  <si>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</si>
  <si>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</si>
  <si>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</si>
  <si>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</si>
  <si>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</si>
  <si>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</si>
  <si>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</si>
  <si>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</si>
  <si>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</si>
  <si>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</si>
  <si>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</si>
  <si>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</si>
  <si>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</si>
  <si>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</si>
  <si>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</si>
  <si>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</si>
  <si>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</si>
  <si>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</si>
  <si>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</si>
  <si>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</si>
  <si>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</si>
  <si>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</si>
  <si>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</si>
  <si>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</si>
  <si>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</si>
  <si>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</si>
  <si>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</si>
  <si>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</si>
  <si>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</si>
  <si>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</si>
  <si>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</si>
  <si>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</si>
  <si>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</si>
  <si>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</si>
  <si>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</si>
  <si>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</si>
  <si>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</si>
  <si>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</si>
  <si>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</si>
  <si>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</si>
  <si>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Row Labels</t>
  </si>
  <si>
    <t>Grand Total</t>
  </si>
  <si>
    <t>Sum of Sales_Amount</t>
  </si>
  <si>
    <t>Jan</t>
  </si>
  <si>
    <t>Feb</t>
  </si>
  <si>
    <t>Mar</t>
  </si>
  <si>
    <t>Apr</t>
  </si>
  <si>
    <t>May</t>
  </si>
  <si>
    <t>Jun</t>
  </si>
  <si>
    <t>Jul</t>
  </si>
  <si>
    <t>Aug</t>
  </si>
  <si>
    <t>Sep</t>
  </si>
  <si>
    <t>Oct</t>
  </si>
  <si>
    <t>Nov</t>
  </si>
  <si>
    <t>Dec</t>
  </si>
  <si>
    <t>Sum of Quantity_Sold</t>
  </si>
  <si>
    <t>TOTAL SALES</t>
  </si>
  <si>
    <t>TOTAL ORDERS</t>
  </si>
  <si>
    <t>AVERAGE SALES</t>
  </si>
  <si>
    <t>Metric</t>
  </si>
  <si>
    <t>Value</t>
  </si>
  <si>
    <t>Total Sales</t>
  </si>
  <si>
    <t>Total Orders</t>
  </si>
  <si>
    <t>Average Sales</t>
  </si>
  <si>
    <t>Highest Sales</t>
  </si>
  <si>
    <t>Lowest Sales</t>
  </si>
  <si>
    <t>North Region generated the highest sales.</t>
  </si>
  <si>
    <t>Electronic Sales could be improved  through promotions.</t>
  </si>
  <si>
    <t>May had the highest monthly sales.</t>
  </si>
  <si>
    <t>Clothing is the best selling category.</t>
  </si>
  <si>
    <t>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</si>
</sst>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22"/>
      <color theme="1"/>
      <name val="Calibri"/>
      <family val="2"/>
      <scheme val="minor"/>
    </font>
    <font>
      <sz val="20"/>
      <color theme="1"/>
      <name val="Calibri"/>
      <family val="2"/>
      <scheme val="minor"/>
    </font>
    <font>
      <b/>
      <sz val="20"/>
      <color theme="1"/>
      <name val="Calibri"/>
      <family val="2"/>
      <scheme val="minor"/>
    </font>
    <font>
      <b/>
      <sz val="20"/>
      <color theme="0"/>
      <name val="Calibri"/>
      <family val="2"/>
      <scheme val="minor"/>
    </font>
    <font>
      <b/>
      <sz val="16"/>
      <color theme="1"/>
      <name val="Aptos Display"/>
      <family val="2"/>
    </font>
    <font>
      <b/>
      <sz val="28"/>
      <color rgb="FFFF0000"/>
      <name val="Calibri"/>
      <family val="2"/>
      <scheme val="minor"/>
    </font>
    <font>
      <b/>
      <sz val="28"/>
      <color theme="1"/>
      <name val="Calibri"/>
      <family val="2"/>
      <scheme val="minor"/>
    </font>
    <font>
      <sz val="28"/>
      <color theme="1"/>
      <name val="Calibri"/>
      <family val="2"/>
      <scheme val="minor"/>
    </font>
  </fonts>
  <fills count="4">
    <fill>
      <patternFill patternType="none"/>
    </fill>
    <fill>
      <patternFill patternType="gray125"/>
    </fill>
    <fill>
      <patternFill patternType="solid">
        <fgColor theme="7"/>
        <bgColor indexed="64"/>
      </patternFill>
    </fill>
    <fill>
      <patternFill patternType="solid">
        <fgColor theme="3" tint="0.59999389629810485"/>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18">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2" borderId="0" xfId="0" applyFont="1" applyFill="1"/>
    <xf numFmtId="1" fontId="1" fillId="3" borderId="0" xfId="0" applyNumberFormat="1" applyFont="1" applyFill="1"/>
    <xf numFmtId="0" fontId="1" fillId="3" borderId="0" xfId="0" applyFont="1" applyFill="1"/>
    <xf numFmtId="164" fontId="1" fillId="3" borderId="0" xfId="0" applyNumberFormat="1" applyFont="1" applyFill="1"/>
    <xf numFmtId="0" fontId="4" fillId="0" borderId="0" xfId="0" applyFont="1" applyAlignment="1">
      <alignment horizontal="center"/>
    </xf>
    <xf numFmtId="0" fontId="3" fillId="0" borderId="1" xfId="0" applyFont="1" applyBorder="1"/>
    <xf numFmtId="1" fontId="2" fillId="0" borderId="1" xfId="0" applyNumberFormat="1" applyFont="1" applyBorder="1"/>
    <xf numFmtId="0" fontId="2" fillId="0" borderId="1" xfId="0" applyFont="1" applyBorder="1"/>
    <xf numFmtId="164" fontId="2" fillId="0" borderId="1" xfId="0" applyNumberFormat="1" applyFont="1" applyBorder="1"/>
    <xf numFmtId="0" fontId="5" fillId="0" borderId="0" xfId="0" applyFont="1"/>
    <xf numFmtId="0" fontId="1" fillId="0" borderId="0" xfId="0" applyFont="1"/>
    <xf numFmtId="0" fontId="6" fillId="0" borderId="0" xfId="0" applyFont="1"/>
    <xf numFmtId="0" fontId="7" fillId="0" borderId="0" xfId="0" applyFont="1"/>
    <xf numFmtId="0" fontId="8" fillId="0" borderId="0" xfId="0" applyFont="1"/>
  </cellXfs>
  <cellStyles count="1">
    <cellStyle name="Normal" xfId="0" builtinId="0"/>
  </cellStyles>
  <dxfs count="13">
    <dxf>
      <fill>
        <patternFill patternType="none">
          <fgColor indexed="64"/>
          <bgColor auto="1"/>
        </patternFill>
      </fill>
    </dxf>
    <dxf>
      <font>
        <b/>
        <i val="0"/>
        <strike val="0"/>
        <condense val="0"/>
        <extend val="0"/>
        <outline val="0"/>
        <shadow val="0"/>
        <u val="none"/>
        <vertAlign val="baseline"/>
        <sz val="20"/>
        <color theme="1"/>
        <name val="Calibri"/>
        <family val="2"/>
        <scheme val="minor"/>
      </font>
      <fill>
        <patternFill patternType="none">
          <fgColor indexed="64"/>
          <bgColor auto="1"/>
        </patternFill>
      </fill>
      <border diagonalUp="0" diagonalDown="0" outline="0">
        <left/>
        <right/>
        <top style="thin">
          <color theme="4" tint="0.39997558519241921"/>
        </top>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none">
          <fgColor indexed="64"/>
          <bgColor auto="1"/>
        </patternFill>
      </fill>
    </dxf>
    <dxf>
      <font>
        <b/>
        <i val="0"/>
        <strike val="0"/>
        <condense val="0"/>
        <extend val="0"/>
        <outline val="0"/>
        <shadow val="0"/>
        <u val="none"/>
        <vertAlign val="baseline"/>
        <sz val="20"/>
        <color theme="0"/>
        <name val="Calibri"/>
        <family val="2"/>
        <scheme val="minor"/>
      </font>
      <fill>
        <patternFill patternType="none">
          <fgColor indexed="64"/>
          <bgColor auto="1"/>
        </patternFill>
      </fill>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[Day_17_Executive_Sales_Dashboard.xlsx]Pivot_Tables!PivotTable1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c:f>
              <c:strCache>
                <c:ptCount val="1"/>
                <c:pt idx="0">
                  <c:v>Total</c:v>
                </c:pt>
              </c:strCache>
            </c:strRef>
          </c:tx>
          <c:spPr>
            <a:solidFill>
              <a:schemeClr val="accent1"/>
            </a:solidFill>
            <a:ln>
              <a:noFill/>
            </a:ln>
            <a:effectLst/>
          </c:spPr>
          <c:invertIfNegative val="0"/>
          <c:cat>
            <c:strRef>
              <c:f>Pivot_Tables!$A$2:$A$22</c:f>
              <c:strCache>
                <c:ptCount val="20"/>
                <c:pt idx="0">
                  <c:v>East-Alice</c:v>
                </c:pt>
                <c:pt idx="1">
                  <c:v>East-Bob</c:v>
                </c:pt>
                <c:pt idx="2">
                  <c:v>East-Charlie</c:v>
                </c:pt>
                <c:pt idx="3">
                  <c:v>East-David</c:v>
                </c:pt>
                <c:pt idx="4">
                  <c:v>East-Eve</c:v>
                </c:pt>
                <c:pt idx="5">
                  <c:v>North-Alice</c:v>
                </c:pt>
                <c:pt idx="6">
                  <c:v>North-Bob</c:v>
                </c:pt>
                <c:pt idx="7">
                  <c:v>North-Charlie</c:v>
                </c:pt>
                <c:pt idx="8">
                  <c:v>North-David</c:v>
                </c:pt>
                <c:pt idx="9">
                  <c:v>North-Eve</c:v>
                </c:pt>
                <c:pt idx="10">
                  <c:v>South-Alice</c:v>
                </c:pt>
                <c:pt idx="11">
                  <c:v>South-Bob</c:v>
                </c:pt>
                <c:pt idx="12">
                  <c:v>South-Charlie</c:v>
                </c:pt>
                <c:pt idx="13">
                  <c:v>South-David</c:v>
                </c:pt>
                <c:pt idx="14">
                  <c:v>South-Eve</c:v>
                </c:pt>
                <c:pt idx="15">
                  <c:v>West-Alice</c:v>
                </c:pt>
                <c:pt idx="16">
                  <c:v>West-Bob</c:v>
                </c:pt>
                <c:pt idx="17">
                  <c:v>West-Charlie</c:v>
                </c:pt>
                <c:pt idx="18">
                  <c:v>West-David</c:v>
                </c:pt>
                <c:pt idx="19">
                  <c:v>West-Eve</c:v>
                </c:pt>
              </c:strCache>
            </c:strRef>
          </c:cat>
          <c:val>
            <c:numRef>
              <c:f>Pivot_Tables!$B$2:$B$22</c:f>
              <c:numCache>
                <c:formatCode>General</c:formatCode>
                <c:ptCount val="20"/>
                <c:pt idx="0">
                  <c:v>101994.18999999999</c:v>
                </c:pt>
                <c:pt idx="1">
                  <c:v>74834.559999999998</c:v>
                </c:pt>
                <c:pt idx="2">
                  <c:v>37266.299999999988</c:v>
                </c:pt>
                <c:pt idx="3">
                  <c:v>101882.41</c:v>
                </c:pt>
                <c:pt idx="4">
                  <c:v>51637.19</c:v>
                </c:pt>
                <c:pt idx="5">
                  <c:v>57521.86</c:v>
                </c:pt>
                <c:pt idx="6">
                  <c:v>77296.03</c:v>
                </c:pt>
                <c:pt idx="7">
                  <c:v>95201.430000000008</c:v>
                </c:pt>
                <c:pt idx="8">
                  <c:v>69579.849999999991</c:v>
                </c:pt>
                <c:pt idx="9">
                  <c:v>116256.32999999999</c:v>
                </c:pt>
                <c:pt idx="10">
                  <c:v>69096.89</c:v>
                </c:pt>
                <c:pt idx="11">
                  <c:v>99105.440000000017</c:v>
                </c:pt>
                <c:pt idx="12">
                  <c:v>27116.979999999996</c:v>
                </c:pt>
                <c:pt idx="13">
                  <c:v>65718.859999999986</c:v>
                </c:pt>
                <c:pt idx="14">
                  <c:v>62791.1</c:v>
                </c:pt>
                <c:pt idx="15">
                  <c:v>51714.610000000008</c:v>
                </c:pt>
                <c:pt idx="16">
                  <c:v>93545.510000000009</c:v>
                </c:pt>
                <c:pt idx="17">
                  <c:v>92593.639999999985</c:v>
                </c:pt>
                <c:pt idx="18">
                  <c:v>68298.849999999991</c:v>
                </c:pt>
                <c:pt idx="19">
                  <c:v>81944.309999999983</c:v>
                </c:pt>
              </c:numCache>
            </c:numRef>
          </c:val>
          <c:extLst>
            <c:ext xmlns:c16="http://schemas.microsoft.com/office/drawing/2014/chart" uri="{C3380CC4-5D6E-409C-BE32-E72D297353CC}">
              <c16:uniqueId val="{00000000-20C0-4489-9801-740417C85BA0}"/>
            </c:ext>
          </c:extLst>
        </c:ser>
        <c:dLbls>
          <c:showLegendKey val="0"/>
          <c:showVal val="0"/>
          <c:showCatName val="0"/>
          <c:showSerName val="0"/>
          <c:showPercent val="0"/>
          <c:showBubbleSize val="0"/>
        </c:dLbls>
        <c:gapWidth val="219"/>
        <c:overlap val="-27"/>
        <c:axId val="343413104"/>
        <c:axId val="702204399"/>
      </c:barChart>
      <c:catAx>
        <c:axId val="34341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204399"/>
        <c:crosses val="autoZero"/>
        <c:auto val="1"/>
        <c:lblAlgn val="ctr"/>
        <c:lblOffset val="100"/>
        <c:noMultiLvlLbl val="0"/>
      </c:catAx>
      <c:valAx>
        <c:axId val="70220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41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[Day_17_Executive_Sales_Dashboard.xlsx]Pivot_Tables!PivotTable5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Pivot_Tables!$E$9</c:f>
              <c:strCache>
                <c:ptCount val="1"/>
                <c:pt idx="0">
                  <c:v>Total</c:v>
                </c:pt>
              </c:strCache>
            </c:strRef>
          </c:tx>
          <c:spPr>
            <a:ln w="28575" cap="rnd">
              <a:solidFill>
                <a:schemeClr val="accent1"/>
              </a:solidFill>
              <a:round/>
            </a:ln>
            <a:effectLst/>
          </c:spPr>
          <c:marker>
            <c:symbol val="none"/>
          </c:marker>
          <c:cat>
            <c:strRef>
              <c:f>Pivot_Tables!$D$10:$D$22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Pivot_Tables!$E$10:$E$22</c:f>
              <c:numCache>
                <c:formatCode>General</c:formatCode>
                <c:ptCount val="12"/>
                <c:pt idx="0">
                  <c:v>122790.66999999997</c:v>
                </c:pt>
                <c:pt idx="1">
                  <c:v>90326.64</c:v>
                </c:pt>
                <c:pt idx="2">
                  <c:v>111951.86999999998</c:v>
                </c:pt>
                <c:pt idx="3">
                  <c:v>128099.13</c:v>
                </c:pt>
                <c:pt idx="4">
                  <c:v>162884.04999999999</c:v>
                </c:pt>
                <c:pt idx="5">
                  <c:v>123205.06999999998</c:v>
                </c:pt>
                <c:pt idx="6">
                  <c:v>86673.600000000006</c:v>
                </c:pt>
                <c:pt idx="7">
                  <c:v>86736.049999999988</c:v>
                </c:pt>
                <c:pt idx="8">
                  <c:v>100084.35</c:v>
                </c:pt>
                <c:pt idx="9">
                  <c:v>167573.07999999999</c:v>
                </c:pt>
                <c:pt idx="10">
                  <c:v>176033.99999999997</c:v>
                </c:pt>
                <c:pt idx="11">
                  <c:v>139037.83000000002</c:v>
                </c:pt>
              </c:numCache>
            </c:numRef>
          </c:val>
          <c:smooth val="0"/>
          <c:extLst>
            <c:ext xmlns:c16="http://schemas.microsoft.com/office/drawing/2014/chart" uri="{C3380CC4-5D6E-409C-BE32-E72D297353CC}">
              <c16:uniqueId val="{00000000-C133-4CB3-9A59-B7650C17356A}"/>
            </c:ext>
          </c:extLst>
        </c:ser>
        <c:dLbls>
          <c:showLegendKey val="0"/>
          <c:showVal val="0"/>
          <c:showCatName val="0"/>
          <c:showSerName val="0"/>
          <c:showPercent val="0"/>
          <c:showBubbleSize val="0"/>
        </c:dLbls>
        <c:smooth val="0"/>
        <c:axId val="350178272"/>
        <c:axId val="702203439"/>
      </c:lineChart>
      <c:catAx>
        <c:axId val="35017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203439"/>
        <c:crosses val="autoZero"/>
        <c:auto val="1"/>
        <c:lblAlgn val="ctr"/>
        <c:lblOffset val="100"/>
        <c:noMultiLvlLbl val="0"/>
      </c:catAx>
      <c:valAx>
        <c:axId val="702203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17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[Day_17_Executive_Sales_Dashboard.xlsx]Pivot_Tables!PivotTable4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Salesperson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889737654320989"/>
          <c:y val="0.2866043650793651"/>
          <c:w val="0.55812654320987654"/>
          <c:h val="0.59648373015873013"/>
        </c:manualLayout>
      </c:layout>
      <c:barChart>
        <c:barDir val="bar"/>
        <c:grouping val="stacked"/>
        <c:varyColors val="0"/>
        <c:ser>
          <c:idx val="0"/>
          <c:order val="0"/>
          <c:tx>
            <c:strRef>
              <c:f>Pivot_Tables!$H$1</c:f>
              <c:strCache>
                <c:ptCount val="1"/>
                <c:pt idx="0">
                  <c:v>Total</c:v>
                </c:pt>
              </c:strCache>
            </c:strRef>
          </c:tx>
          <c:spPr>
            <a:solidFill>
              <a:schemeClr val="accent1"/>
            </a:solidFill>
            <a:ln>
              <a:noFill/>
            </a:ln>
            <a:effectLst/>
          </c:spPr>
          <c:invertIfNegative val="0"/>
          <c:cat>
            <c:strRef>
              <c:f>Pivot_Tables!$G$2:$G$7</c:f>
              <c:strCache>
                <c:ptCount val="5"/>
                <c:pt idx="0">
                  <c:v>Alice</c:v>
                </c:pt>
                <c:pt idx="1">
                  <c:v>Bob</c:v>
                </c:pt>
                <c:pt idx="2">
                  <c:v>Charlie</c:v>
                </c:pt>
                <c:pt idx="3">
                  <c:v>David</c:v>
                </c:pt>
                <c:pt idx="4">
                  <c:v>Eve</c:v>
                </c:pt>
              </c:strCache>
            </c:strRef>
          </c:cat>
          <c:val>
            <c:numRef>
              <c:f>Pivot_Tables!$H$2:$H$7</c:f>
              <c:numCache>
                <c:formatCode>General</c:formatCode>
                <c:ptCount val="5"/>
                <c:pt idx="0">
                  <c:v>280327.55000000005</c:v>
                </c:pt>
                <c:pt idx="1">
                  <c:v>344781.54</c:v>
                </c:pt>
                <c:pt idx="2">
                  <c:v>252178.35</c:v>
                </c:pt>
                <c:pt idx="3">
                  <c:v>305479.97000000003</c:v>
                </c:pt>
                <c:pt idx="4">
                  <c:v>312628.93</c:v>
                </c:pt>
              </c:numCache>
            </c:numRef>
          </c:val>
          <c:extLst>
            <c:ext xmlns:c16="http://schemas.microsoft.com/office/drawing/2014/chart" uri="{C3380CC4-5D6E-409C-BE32-E72D297353CC}">
              <c16:uniqueId val="{00000000-5BEB-4000-817D-E7F4E89CD97A}"/>
            </c:ext>
          </c:extLst>
        </c:ser>
        <c:dLbls>
          <c:showLegendKey val="0"/>
          <c:showVal val="0"/>
          <c:showCatName val="0"/>
          <c:showSerName val="0"/>
          <c:showPercent val="0"/>
          <c:showBubbleSize val="0"/>
        </c:dLbls>
        <c:gapWidth val="150"/>
        <c:overlap val="100"/>
        <c:axId val="343575504"/>
        <c:axId val="702230799"/>
      </c:barChart>
      <c:catAx>
        <c:axId val="343575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230799"/>
        <c:crosses val="autoZero"/>
        <c:auto val="1"/>
        <c:lblAlgn val="ctr"/>
        <c:lblOffset val="100"/>
        <c:noMultiLvlLbl val="0"/>
      </c:catAx>
      <c:valAx>
        <c:axId val="702230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57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[Day_17_Executive_Sales_Dashboard.xlsx]Pivot_Tables!PivotTable3</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Categories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Pivot_Tables!$E$1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E90-461F-84B8-3702B33ABD4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E90-461F-84B8-3702B33ABD4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6E90-461F-84B8-3702B33ABD4C}"/>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6E90-461F-84B8-3702B33ABD4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Pivot_Tables!$D$2:$D$6</c:f>
              <c:strCache>
                <c:ptCount val="4"/>
                <c:pt idx="0">
                  <c:v>Clothing</c:v>
                </c:pt>
                <c:pt idx="1">
                  <c:v>Electronics</c:v>
                </c:pt>
                <c:pt idx="2">
                  <c:v>Food</c:v>
                </c:pt>
                <c:pt idx="3">
                  <c:v>Furniture</c:v>
                </c:pt>
              </c:strCache>
            </c:strRef>
          </c:cat>
          <c:val>
            <c:numRef>
              <c:f>Pivot_Tables!$E$2:$E$6</c:f>
              <c:numCache>
                <c:formatCode>General</c:formatCode>
                <c:ptCount val="4"/>
                <c:pt idx="0">
                  <c:v>434826.10000000015</c:v>
                </c:pt>
                <c:pt idx="1">
                  <c:v>330938.12999999995</c:v>
                </c:pt>
                <c:pt idx="2">
                  <c:v>367360.80000000005</c:v>
                </c:pt>
                <c:pt idx="3">
                  <c:v>362271.30999999994</c:v>
                </c:pt>
              </c:numCache>
            </c:numRef>
          </c:val>
          <c:extLst>
            <c:ext xmlns:c16="http://schemas.microsoft.com/office/drawing/2014/chart" uri="{C3380CC4-5D6E-409C-BE32-E72D297353CC}">
              <c16:uniqueId val="{00000008-6E90-461F-84B8-3702B33ABD4C}"/>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1403404</xdr:colOff>
      <xdr:row>20</xdr:row>
      <xdr:rowOff>0</xdr:rowOff>
    </xdr:from>
    <xdr:to>
      <xdr:col>9</xdr:col>
      <xdr:colOff>381662</xdr:colOff>
      <xdr:row>36</xdr:row>
      <xdr:rowOff>103367</xdr:rowOff>
    </xdr:to>
    <xdr:graphicFrame macro="">
      <xdr:nvGraphicFramePr>
        <xdr:cNvPr id="2" name="Chart 1">
          <a:extLst>
            <a:ext uri="{FF2B5EF4-FFF2-40B4-BE49-F238E27FC236}">
              <a16:creationId xmlns:a16="http://schemas.microsoft.com/office/drawing/2014/main" id="{2B74B4A3-3F86-083C-2503-D4D161F9E9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592373</xdr:colOff>
      <xdr:row>5</xdr:row>
      <xdr:rowOff>174928</xdr:rowOff>
    </xdr:from>
    <xdr:to>
      <xdr:col>15</xdr:col>
      <xdr:colOff>27642</xdr:colOff>
      <xdr:row>19</xdr:row>
      <xdr:rowOff>23290</xdr:rowOff>
    </xdr:to>
    <xdr:graphicFrame macro="">
      <xdr:nvGraphicFramePr>
        <xdr:cNvPr id="3" name="Chart 4">
          <a:extLst>
            <a:ext uri="{FF2B5EF4-FFF2-40B4-BE49-F238E27FC236}">
              <a16:creationId xmlns:a16="http://schemas.microsoft.com/office/drawing/2014/main" id="{B086E122-98FB-1C21-DEE4-A41B2AAC4B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504909</xdr:colOff>
      <xdr:row>5</xdr:row>
      <xdr:rowOff>174926</xdr:rowOff>
    </xdr:from>
    <xdr:to>
      <xdr:col>8</xdr:col>
      <xdr:colOff>576283</xdr:colOff>
      <xdr:row>19</xdr:row>
      <xdr:rowOff>23288</xdr:rowOff>
    </xdr:to>
    <xdr:graphicFrame macro="">
      <xdr:nvGraphicFramePr>
        <xdr:cNvPr id="4" name="Chart 3">
          <a:extLst>
            <a:ext uri="{FF2B5EF4-FFF2-40B4-BE49-F238E27FC236}">
              <a16:creationId xmlns:a16="http://schemas.microsoft.com/office/drawing/2014/main" id="{9D350C26-964B-8C95-363D-9E6EE8866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xdr:row>
      <xdr:rowOff>174930</xdr:rowOff>
    </xdr:from>
    <xdr:to>
      <xdr:col>2</xdr:col>
      <xdr:colOff>484842</xdr:colOff>
      <xdr:row>19</xdr:row>
      <xdr:rowOff>23292</xdr:rowOff>
    </xdr:to>
    <xdr:graphicFrame macro="">
      <xdr:nvGraphicFramePr>
        <xdr:cNvPr id="5" name="Chart 2">
          <a:extLst>
            <a:ext uri="{FF2B5EF4-FFF2-40B4-BE49-F238E27FC236}">
              <a16:creationId xmlns:a16="http://schemas.microsoft.com/office/drawing/2014/main" id="{A43169AA-B3CB-E10C-6C08-63B912656E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572493</xdr:colOff>
      <xdr:row>0</xdr:row>
      <xdr:rowOff>39756</xdr:rowOff>
    </xdr:from>
    <xdr:to>
      <xdr:col>5</xdr:col>
      <xdr:colOff>500931</xdr:colOff>
      <xdr:row>5</xdr:row>
      <xdr:rowOff>103366</xdr:rowOff>
    </xdr:to>
    <mc:AlternateContent xmlns:mc="http://schemas.openxmlformats.org/markup-compatibility/2006" xmlns:a14="http://schemas.microsoft.com/office/drawing/2010/main">
      <mc:Choice Requires="a14">
        <xdr:graphicFrame macro="">
          <xdr:nvGraphicFramePr>
            <xdr:cNvPr id="6" name="Product_Category">
              <a:extLst>
                <a:ext uri="{FF2B5EF4-FFF2-40B4-BE49-F238E27FC236}">
                  <a16:creationId xmlns:a16="http://schemas.microsoft.com/office/drawing/2014/main" id="{0F5691D9-92D1-2AD7-7084-AA3E5C50CAF4}"/>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3975651" y="39756"/>
              <a:ext cx="1836751" cy="1518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7949</xdr:colOff>
      <xdr:row>0</xdr:row>
      <xdr:rowOff>15904</xdr:rowOff>
    </xdr:from>
    <xdr:to>
      <xdr:col>9</xdr:col>
      <xdr:colOff>572493</xdr:colOff>
      <xdr:row>5</xdr:row>
      <xdr:rowOff>103367</xdr:rowOff>
    </xdr:to>
    <mc:AlternateContent xmlns:mc="http://schemas.openxmlformats.org/markup-compatibility/2006" xmlns:a14="http://schemas.microsoft.com/office/drawing/2010/main">
      <mc:Choice Requires="a14">
        <xdr:graphicFrame macro="">
          <xdr:nvGraphicFramePr>
            <xdr:cNvPr id="7" name="Region_and_Sales_Rep">
              <a:extLst>
                <a:ext uri="{FF2B5EF4-FFF2-40B4-BE49-F238E27FC236}">
                  <a16:creationId xmlns:a16="http://schemas.microsoft.com/office/drawing/2014/main" id="{B01C579D-2D4C-5DB2-D6EF-101E5CB98881}"/>
                </a:ext>
              </a:extLst>
            </xdr:cNvPr>
            <xdr:cNvGraphicFramePr/>
          </xdr:nvGraphicFramePr>
          <xdr:xfrm>
            <a:off x="0" y="0"/>
            <a:ext cx="0" cy="0"/>
          </xdr:xfrm>
          <a:graphic>
            <a:graphicData uri="http://schemas.microsoft.com/office/drawing/2010/slicer">
              <sle:slicer xmlns:sle="http://schemas.microsoft.com/office/drawing/2010/slicer" name="Region_and_Sales_Rep"/>
            </a:graphicData>
          </a:graphic>
        </xdr:graphicFrame>
      </mc:Choice>
      <mc:Fallback xmlns="">
        <xdr:sp macro="" textlink="">
          <xdr:nvSpPr>
            <xdr:cNvPr id="0" name=""/>
            <xdr:cNvSpPr>
              <a:spLocks noTextEdit="1"/>
            </xdr:cNvSpPr>
          </xdr:nvSpPr>
          <xdr:spPr>
            <a:xfrm>
              <a:off x="6591629" y="15904"/>
              <a:ext cx="1836753" cy="15425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kumar V" refreshedDate="46229.805543287039" createdVersion="8" refreshedVersion="8" minRefreshableVersion="3" recordCount="300" xr:uid="{E9B892D0-5583-49C9-9E45-F3F6F74B4606}">
  <cacheSource type="worksheet">
    <worksheetSource name="sales_data"/>
  </cacheSource>
  <cacheFields count="16">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1T00:00:00" count="192">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sharedItems>
      <fieldGroup par="15"/>
    </cacheField>
    <cacheField name="Sales_Rep" numFmtId="0">
      <sharedItems count="5">
        <s v="Bob"/>
        <s v="David"/>
        <s v="Charlie"/>
        <s v="Eve"/>
        <s v="Alice"/>
      </sharedItems>
    </cacheField>
    <cacheField name="Region" numFmtId="0">
      <sharedItems count="4">
        <s v="North"/>
        <s v="West"/>
        <s v="South"/>
        <s v="East"/>
      </sharedItems>
    </cacheField>
    <cacheField name="Sales_Amount" numFmtId="0">
      <sharedItems containsSemiMixedTypes="0" containsString="0" containsNumber="1" minValue="100.12" maxValue="9948.7099999999991"/>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0">
      <sharedItems containsSemiMixedTypes="0" containsString="0" containsNumber="1" minValue="68.989999999999995" maxValue="4929.55"/>
    </cacheField>
    <cacheField name="Unit_Price" numFmtId="0">
      <sharedItems containsSemiMixedTypes="0" containsString="0" containsNumber="1" minValue="211.18" maxValue="5166.72"/>
    </cacheField>
    <cacheField name="Customer_Type" numFmtId="0">
      <sharedItems count="2">
        <s v="Returning"/>
        <s v="New"/>
      </sharedItems>
    </cacheField>
    <cacheField name="Discount" numFmtId="0">
      <sharedItems containsSemiMixedTypes="0" containsString="0" containsNumber="1" minValue="0" maxValue="0.3"/>
    </cacheField>
    <cacheField name="Payment_Method" numFmtId="0">
      <sharedItems count="3">
        <s v="Cash"/>
        <s v="Bank Transfer"/>
        <s v="Credit Card"/>
      </sharedItems>
    </cacheField>
    <cacheField name="Sales_Channel" numFmtId="0">
      <sharedItems count="2">
        <s v="Online"/>
        <s v="Retail"/>
      </sharedItems>
    </cacheField>
    <cacheField name="Region_and_Sales_Rep" numFmtId="0">
      <sharedItems count="20">
        <s v="North-Bob"/>
        <s v="West-Bob"/>
        <s v="South-David"/>
        <s v="South-Bob"/>
        <s v="East-Charlie"/>
        <s v="West-Charlie"/>
        <s v="South-Eve"/>
        <s v="North-Eve"/>
        <s v="West-Eve"/>
        <s v="South-Alice"/>
        <s v="South-Charlie"/>
        <s v="North-David"/>
        <s v="East-Bob"/>
        <s v="West-David"/>
        <s v="East-Eve"/>
        <s v="North-Alice"/>
        <s v="East-David"/>
        <s v="West-Alice"/>
        <s v="East-Alice"/>
        <s v="North-Charlie"/>
      </sharedItems>
    </cacheField>
    <cacheField name="Days (Sale_Date)" numFmtId="0" databaseField="0">
      <fieldGroup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Sale_Date)"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7707930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52"/>
    <x v="0"/>
    <x v="0"/>
    <x v="0"/>
    <n v="5053.97"/>
    <n v="18"/>
    <x v="0"/>
    <n v="152.75"/>
    <n v="267.22000000000003"/>
    <x v="0"/>
    <n v="0.09"/>
    <x v="0"/>
    <x v="0"/>
    <x v="0"/>
  </r>
  <r>
    <n v="1093"/>
    <x v="1"/>
    <x v="0"/>
    <x v="1"/>
    <n v="4384.0200000000004"/>
    <n v="17"/>
    <x v="0"/>
    <n v="3816.39"/>
    <n v="4209.4399999999996"/>
    <x v="0"/>
    <n v="0.11"/>
    <x v="0"/>
    <x v="1"/>
    <x v="1"/>
  </r>
  <r>
    <n v="1015"/>
    <x v="2"/>
    <x v="1"/>
    <x v="2"/>
    <n v="4631.2299999999996"/>
    <n v="30"/>
    <x v="1"/>
    <n v="261.56"/>
    <n v="371.4"/>
    <x v="0"/>
    <n v="0.2"/>
    <x v="1"/>
    <x v="1"/>
    <x v="2"/>
  </r>
  <r>
    <n v="1072"/>
    <x v="3"/>
    <x v="0"/>
    <x v="2"/>
    <n v="2167.94"/>
    <n v="39"/>
    <x v="2"/>
    <n v="4330.03"/>
    <n v="4467.75"/>
    <x v="1"/>
    <n v="0.02"/>
    <x v="2"/>
    <x v="1"/>
    <x v="3"/>
  </r>
  <r>
    <n v="1061"/>
    <x v="4"/>
    <x v="2"/>
    <x v="3"/>
    <n v="3750.2"/>
    <n v="13"/>
    <x v="3"/>
    <n v="637.37"/>
    <n v="692.71"/>
    <x v="1"/>
    <n v="0.08"/>
    <x v="2"/>
    <x v="0"/>
    <x v="4"/>
  </r>
  <r>
    <n v="1021"/>
    <x v="5"/>
    <x v="2"/>
    <x v="1"/>
    <n v="3761.15"/>
    <n v="32"/>
    <x v="1"/>
    <n v="900.79"/>
    <n v="1106.51"/>
    <x v="1"/>
    <n v="0.21"/>
    <x v="0"/>
    <x v="0"/>
    <x v="5"/>
  </r>
  <r>
    <n v="1083"/>
    <x v="6"/>
    <x v="0"/>
    <x v="1"/>
    <n v="618.30999999999995"/>
    <n v="29"/>
    <x v="0"/>
    <n v="2408.81"/>
    <n v="2624.09"/>
    <x v="0"/>
    <n v="0.14000000000000001"/>
    <x v="0"/>
    <x v="0"/>
    <x v="1"/>
  </r>
  <r>
    <n v="1087"/>
    <x v="7"/>
    <x v="3"/>
    <x v="2"/>
    <n v="7698.92"/>
    <n v="46"/>
    <x v="0"/>
    <n v="3702.51"/>
    <n v="3964.65"/>
    <x v="1"/>
    <n v="0.12"/>
    <x v="1"/>
    <x v="0"/>
    <x v="6"/>
  </r>
  <r>
    <n v="1075"/>
    <x v="8"/>
    <x v="1"/>
    <x v="2"/>
    <n v="4223.3900000000003"/>
    <n v="30"/>
    <x v="0"/>
    <n v="738.06"/>
    <n v="1095.4499999999998"/>
    <x v="1"/>
    <n v="0.05"/>
    <x v="1"/>
    <x v="0"/>
    <x v="2"/>
  </r>
  <r>
    <n v="1075"/>
    <x v="9"/>
    <x v="2"/>
    <x v="1"/>
    <n v="8239.58"/>
    <n v="18"/>
    <x v="2"/>
    <n v="2228.35"/>
    <n v="2682.34"/>
    <x v="1"/>
    <n v="0.13"/>
    <x v="1"/>
    <x v="0"/>
    <x v="5"/>
  </r>
  <r>
    <n v="1088"/>
    <x v="10"/>
    <x v="3"/>
    <x v="0"/>
    <n v="8518.4500000000007"/>
    <n v="13"/>
    <x v="0"/>
    <n v="2440.11"/>
    <n v="2517.6"/>
    <x v="1"/>
    <n v="0.23"/>
    <x v="1"/>
    <x v="1"/>
    <x v="7"/>
  </r>
  <r>
    <n v="1100"/>
    <x v="11"/>
    <x v="0"/>
    <x v="1"/>
    <n v="2198.7399999999998"/>
    <n v="43"/>
    <x v="1"/>
    <n v="1100.81"/>
    <n v="1137.44"/>
    <x v="0"/>
    <n v="0.08"/>
    <x v="1"/>
    <x v="0"/>
    <x v="1"/>
  </r>
  <r>
    <n v="1024"/>
    <x v="12"/>
    <x v="3"/>
    <x v="1"/>
    <n v="6607.8"/>
    <n v="21"/>
    <x v="1"/>
    <n v="622.01"/>
    <n v="641.09"/>
    <x v="0"/>
    <n v="0"/>
    <x v="1"/>
    <x v="1"/>
    <x v="8"/>
  </r>
  <r>
    <n v="1003"/>
    <x v="13"/>
    <x v="4"/>
    <x v="2"/>
    <n v="4775.59"/>
    <n v="30"/>
    <x v="0"/>
    <n v="4190.28"/>
    <n v="4270.6499999999996"/>
    <x v="1"/>
    <n v="0.2"/>
    <x v="0"/>
    <x v="0"/>
    <x v="9"/>
  </r>
  <r>
    <n v="1022"/>
    <x v="14"/>
    <x v="2"/>
    <x v="2"/>
    <n v="8813.5499999999993"/>
    <n v="21"/>
    <x v="1"/>
    <n v="2537.1999999999998"/>
    <n v="2869.6"/>
    <x v="1"/>
    <n v="0.28999999999999998"/>
    <x v="1"/>
    <x v="1"/>
    <x v="10"/>
  </r>
  <r>
    <n v="1053"/>
    <x v="15"/>
    <x v="0"/>
    <x v="0"/>
    <n v="2235.83"/>
    <n v="48"/>
    <x v="0"/>
    <n v="121.19"/>
    <n v="487.65"/>
    <x v="1"/>
    <n v="0.18"/>
    <x v="0"/>
    <x v="1"/>
    <x v="0"/>
  </r>
  <r>
    <n v="1002"/>
    <x v="16"/>
    <x v="1"/>
    <x v="0"/>
    <n v="6810.35"/>
    <n v="17"/>
    <x v="0"/>
    <n v="4024.76"/>
    <n v="4420.1500000000015"/>
    <x v="0"/>
    <n v="0.04"/>
    <x v="0"/>
    <x v="0"/>
    <x v="11"/>
  </r>
  <r>
    <n v="1088"/>
    <x v="17"/>
    <x v="0"/>
    <x v="3"/>
    <n v="6116.75"/>
    <n v="40"/>
    <x v="3"/>
    <n v="4904.93"/>
    <n v="5034.3500000000004"/>
    <x v="1"/>
    <n v="0.1"/>
    <x v="2"/>
    <x v="1"/>
    <x v="12"/>
  </r>
  <r>
    <n v="1030"/>
    <x v="18"/>
    <x v="1"/>
    <x v="1"/>
    <n v="3023.48"/>
    <n v="19"/>
    <x v="2"/>
    <n v="3049.33"/>
    <n v="3209.22"/>
    <x v="0"/>
    <n v="0.26"/>
    <x v="0"/>
    <x v="0"/>
    <x v="13"/>
  </r>
  <r>
    <n v="1038"/>
    <x v="19"/>
    <x v="0"/>
    <x v="2"/>
    <n v="1452.35"/>
    <n v="15"/>
    <x v="2"/>
    <n v="2543.36"/>
    <n v="2790.1000000000004"/>
    <x v="0"/>
    <n v="7.0000000000000007E-2"/>
    <x v="0"/>
    <x v="0"/>
    <x v="3"/>
  </r>
  <r>
    <n v="1002"/>
    <x v="20"/>
    <x v="3"/>
    <x v="0"/>
    <n v="6551.23"/>
    <n v="9"/>
    <x v="3"/>
    <n v="4398.16"/>
    <n v="4439.12"/>
    <x v="1"/>
    <n v="0.18"/>
    <x v="1"/>
    <x v="0"/>
    <x v="7"/>
  </r>
  <r>
    <n v="1064"/>
    <x v="21"/>
    <x v="3"/>
    <x v="3"/>
    <n v="7412.11"/>
    <n v="10"/>
    <x v="3"/>
    <n v="4764.96"/>
    <n v="5074.42"/>
    <x v="1"/>
    <n v="0.12"/>
    <x v="0"/>
    <x v="0"/>
    <x v="14"/>
  </r>
  <r>
    <n v="1060"/>
    <x v="22"/>
    <x v="3"/>
    <x v="3"/>
    <n v="3224.71"/>
    <n v="44"/>
    <x v="2"/>
    <n v="3784.96"/>
    <n v="4276.99"/>
    <x v="1"/>
    <n v="0.06"/>
    <x v="1"/>
    <x v="1"/>
    <x v="14"/>
  </r>
  <r>
    <n v="1021"/>
    <x v="23"/>
    <x v="4"/>
    <x v="2"/>
    <n v="6483.84"/>
    <n v="31"/>
    <x v="0"/>
    <n v="2254.9899999999998"/>
    <n v="2441.79"/>
    <x v="0"/>
    <n v="0.24"/>
    <x v="1"/>
    <x v="0"/>
    <x v="9"/>
  </r>
  <r>
    <n v="1033"/>
    <x v="24"/>
    <x v="1"/>
    <x v="2"/>
    <n v="4011.8"/>
    <n v="23"/>
    <x v="0"/>
    <n v="2981.5"/>
    <n v="3360.4"/>
    <x v="0"/>
    <n v="0.22"/>
    <x v="1"/>
    <x v="1"/>
    <x v="2"/>
  </r>
  <r>
    <n v="1076"/>
    <x v="22"/>
    <x v="3"/>
    <x v="3"/>
    <n v="7160.75"/>
    <n v="30"/>
    <x v="2"/>
    <n v="3519.63"/>
    <n v="3774.65"/>
    <x v="1"/>
    <n v="0.2"/>
    <x v="2"/>
    <x v="1"/>
    <x v="14"/>
  </r>
  <r>
    <n v="1058"/>
    <x v="25"/>
    <x v="4"/>
    <x v="0"/>
    <n v="2072.23"/>
    <n v="33"/>
    <x v="0"/>
    <n v="1011.65"/>
    <n v="1084.28"/>
    <x v="0"/>
    <n v="7.0000000000000007E-2"/>
    <x v="1"/>
    <x v="1"/>
    <x v="15"/>
  </r>
  <r>
    <n v="1022"/>
    <x v="26"/>
    <x v="1"/>
    <x v="3"/>
    <n v="8913.1299999999992"/>
    <n v="9"/>
    <x v="3"/>
    <n v="2263.65"/>
    <n v="2558.9500000000003"/>
    <x v="1"/>
    <n v="0.03"/>
    <x v="0"/>
    <x v="0"/>
    <x v="16"/>
  </r>
  <r>
    <n v="1089"/>
    <x v="27"/>
    <x v="0"/>
    <x v="1"/>
    <n v="2945.36"/>
    <n v="47"/>
    <x v="0"/>
    <n v="4157.62"/>
    <n v="4314.5599999999995"/>
    <x v="1"/>
    <n v="0.17"/>
    <x v="1"/>
    <x v="1"/>
    <x v="1"/>
  </r>
  <r>
    <n v="1049"/>
    <x v="28"/>
    <x v="4"/>
    <x v="1"/>
    <n v="3741.08"/>
    <n v="1"/>
    <x v="0"/>
    <n v="3290.89"/>
    <n v="3317.75"/>
    <x v="0"/>
    <n v="0.17"/>
    <x v="1"/>
    <x v="0"/>
    <x v="17"/>
  </r>
  <r>
    <n v="1091"/>
    <x v="29"/>
    <x v="2"/>
    <x v="2"/>
    <n v="675.11"/>
    <n v="44"/>
    <x v="1"/>
    <n v="2085.46"/>
    <n v="2406.58"/>
    <x v="0"/>
    <n v="0.06"/>
    <x v="1"/>
    <x v="1"/>
    <x v="10"/>
  </r>
  <r>
    <n v="1059"/>
    <x v="30"/>
    <x v="4"/>
    <x v="0"/>
    <n v="1203.97"/>
    <n v="35"/>
    <x v="1"/>
    <n v="3333.64"/>
    <n v="3764.52"/>
    <x v="0"/>
    <n v="0.02"/>
    <x v="2"/>
    <x v="0"/>
    <x v="15"/>
  </r>
  <r>
    <n v="1042"/>
    <x v="31"/>
    <x v="4"/>
    <x v="0"/>
    <n v="5207.03"/>
    <n v="11"/>
    <x v="1"/>
    <n v="635.20000000000005"/>
    <n v="814.1400000000001"/>
    <x v="0"/>
    <n v="0.02"/>
    <x v="0"/>
    <x v="0"/>
    <x v="15"/>
  </r>
  <r>
    <n v="1092"/>
    <x v="32"/>
    <x v="1"/>
    <x v="1"/>
    <n v="2749.17"/>
    <n v="34"/>
    <x v="0"/>
    <n v="2037.41"/>
    <n v="2238.65"/>
    <x v="1"/>
    <n v="0.3"/>
    <x v="2"/>
    <x v="0"/>
    <x v="13"/>
  </r>
  <r>
    <n v="1060"/>
    <x v="14"/>
    <x v="0"/>
    <x v="3"/>
    <n v="8371.25"/>
    <n v="16"/>
    <x v="2"/>
    <n v="3975.99"/>
    <n v="4422.59"/>
    <x v="1"/>
    <n v="0.24"/>
    <x v="0"/>
    <x v="0"/>
    <x v="12"/>
  </r>
  <r>
    <n v="1080"/>
    <x v="33"/>
    <x v="2"/>
    <x v="2"/>
    <n v="245.46"/>
    <n v="9"/>
    <x v="3"/>
    <n v="1141.52"/>
    <n v="1550.19"/>
    <x v="1"/>
    <n v="0.28000000000000003"/>
    <x v="2"/>
    <x v="1"/>
    <x v="10"/>
  </r>
  <r>
    <n v="1015"/>
    <x v="34"/>
    <x v="3"/>
    <x v="3"/>
    <n v="3853.03"/>
    <n v="32"/>
    <x v="0"/>
    <n v="970.51"/>
    <n v="1330.84"/>
    <x v="0"/>
    <n v="0.06"/>
    <x v="0"/>
    <x v="1"/>
    <x v="14"/>
  </r>
  <r>
    <n v="1062"/>
    <x v="7"/>
    <x v="3"/>
    <x v="3"/>
    <n v="3439.72"/>
    <n v="15"/>
    <x v="2"/>
    <n v="4756.55"/>
    <n v="4888.46"/>
    <x v="1"/>
    <n v="0.28999999999999998"/>
    <x v="2"/>
    <x v="0"/>
    <x v="14"/>
  </r>
  <r>
    <n v="1062"/>
    <x v="35"/>
    <x v="4"/>
    <x v="3"/>
    <n v="291.33999999999997"/>
    <n v="12"/>
    <x v="0"/>
    <n v="1088.99"/>
    <n v="1545"/>
    <x v="0"/>
    <n v="0.04"/>
    <x v="1"/>
    <x v="1"/>
    <x v="18"/>
  </r>
  <r>
    <n v="1047"/>
    <x v="36"/>
    <x v="1"/>
    <x v="0"/>
    <n v="1331.25"/>
    <n v="33"/>
    <x v="3"/>
    <n v="1341.55"/>
    <n v="1427.21"/>
    <x v="0"/>
    <n v="0.15"/>
    <x v="2"/>
    <x v="0"/>
    <x v="11"/>
  </r>
  <r>
    <n v="1062"/>
    <x v="37"/>
    <x v="1"/>
    <x v="1"/>
    <n v="4195.0600000000004"/>
    <n v="45"/>
    <x v="0"/>
    <n v="4849.6000000000004"/>
    <n v="5166.72"/>
    <x v="0"/>
    <n v="0.25"/>
    <x v="2"/>
    <x v="0"/>
    <x v="13"/>
  </r>
  <r>
    <n v="1051"/>
    <x v="21"/>
    <x v="3"/>
    <x v="0"/>
    <n v="4979.3599999999997"/>
    <n v="14"/>
    <x v="3"/>
    <n v="3686.81"/>
    <n v="3710.92"/>
    <x v="1"/>
    <n v="0.1"/>
    <x v="1"/>
    <x v="1"/>
    <x v="7"/>
  </r>
  <r>
    <n v="1055"/>
    <x v="38"/>
    <x v="2"/>
    <x v="1"/>
    <n v="4102.47"/>
    <n v="8"/>
    <x v="0"/>
    <n v="3513"/>
    <n v="3838.42"/>
    <x v="0"/>
    <n v="0.13"/>
    <x v="1"/>
    <x v="0"/>
    <x v="5"/>
  </r>
  <r>
    <n v="1064"/>
    <x v="39"/>
    <x v="0"/>
    <x v="2"/>
    <n v="5356.28"/>
    <n v="8"/>
    <x v="3"/>
    <n v="4271.99"/>
    <n v="4417.79"/>
    <x v="0"/>
    <n v="0.04"/>
    <x v="0"/>
    <x v="0"/>
    <x v="3"/>
  </r>
  <r>
    <n v="1003"/>
    <x v="40"/>
    <x v="2"/>
    <x v="2"/>
    <n v="5991.8"/>
    <n v="27"/>
    <x v="0"/>
    <n v="623.32000000000005"/>
    <n v="853.66000000000008"/>
    <x v="0"/>
    <n v="0.04"/>
    <x v="0"/>
    <x v="0"/>
    <x v="10"/>
  </r>
  <r>
    <n v="1051"/>
    <x v="41"/>
    <x v="0"/>
    <x v="3"/>
    <n v="198.25"/>
    <n v="12"/>
    <x v="3"/>
    <n v="3544.48"/>
    <n v="3723.66"/>
    <x v="0"/>
    <n v="0.19"/>
    <x v="0"/>
    <x v="0"/>
    <x v="12"/>
  </r>
  <r>
    <n v="1007"/>
    <x v="42"/>
    <x v="3"/>
    <x v="1"/>
    <n v="4694.54"/>
    <n v="1"/>
    <x v="1"/>
    <n v="2543.2600000000002"/>
    <n v="2637.9100000000003"/>
    <x v="0"/>
    <n v="0.2"/>
    <x v="2"/>
    <x v="0"/>
    <x v="8"/>
  </r>
  <r>
    <n v="1021"/>
    <x v="43"/>
    <x v="0"/>
    <x v="1"/>
    <n v="9638.64"/>
    <n v="43"/>
    <x v="0"/>
    <n v="4154.3"/>
    <n v="4469.07"/>
    <x v="0"/>
    <n v="0.23"/>
    <x v="0"/>
    <x v="1"/>
    <x v="1"/>
  </r>
  <r>
    <n v="1073"/>
    <x v="38"/>
    <x v="1"/>
    <x v="1"/>
    <n v="5238.42"/>
    <n v="40"/>
    <x v="0"/>
    <n v="2565.3000000000002"/>
    <n v="3007.4700000000003"/>
    <x v="0"/>
    <n v="0.17"/>
    <x v="2"/>
    <x v="1"/>
    <x v="13"/>
  </r>
  <r>
    <n v="1039"/>
    <x v="44"/>
    <x v="4"/>
    <x v="3"/>
    <n v="6807.67"/>
    <n v="42"/>
    <x v="2"/>
    <n v="3120.19"/>
    <n v="3600.14"/>
    <x v="0"/>
    <n v="0.19"/>
    <x v="2"/>
    <x v="1"/>
    <x v="18"/>
  </r>
  <r>
    <n v="1018"/>
    <x v="45"/>
    <x v="4"/>
    <x v="3"/>
    <n v="3187.45"/>
    <n v="11"/>
    <x v="2"/>
    <n v="2414.8200000000002"/>
    <n v="2519.0700000000002"/>
    <x v="0"/>
    <n v="0"/>
    <x v="0"/>
    <x v="0"/>
    <x v="18"/>
  </r>
  <r>
    <n v="1004"/>
    <x v="46"/>
    <x v="3"/>
    <x v="2"/>
    <n v="7762.51"/>
    <n v="39"/>
    <x v="3"/>
    <n v="2416.89"/>
    <n v="2778.3999999999996"/>
    <x v="0"/>
    <n v="0.05"/>
    <x v="0"/>
    <x v="0"/>
    <x v="6"/>
  </r>
  <r>
    <n v="1089"/>
    <x v="47"/>
    <x v="1"/>
    <x v="0"/>
    <n v="7751.92"/>
    <n v="43"/>
    <x v="0"/>
    <n v="3851.45"/>
    <n v="4186.9799999999996"/>
    <x v="0"/>
    <n v="0.3"/>
    <x v="2"/>
    <x v="0"/>
    <x v="11"/>
  </r>
  <r>
    <n v="1060"/>
    <x v="48"/>
    <x v="2"/>
    <x v="1"/>
    <n v="5260.83"/>
    <n v="31"/>
    <x v="3"/>
    <n v="3161.4"/>
    <n v="3339.66"/>
    <x v="0"/>
    <n v="0.02"/>
    <x v="1"/>
    <x v="0"/>
    <x v="5"/>
  </r>
  <r>
    <n v="1014"/>
    <x v="49"/>
    <x v="1"/>
    <x v="1"/>
    <n v="9762.5400000000009"/>
    <n v="17"/>
    <x v="1"/>
    <n v="3184.65"/>
    <n v="3204.01"/>
    <x v="1"/>
    <n v="0.2"/>
    <x v="1"/>
    <x v="0"/>
    <x v="13"/>
  </r>
  <r>
    <n v="1009"/>
    <x v="40"/>
    <x v="4"/>
    <x v="0"/>
    <n v="1342.95"/>
    <n v="33"/>
    <x v="2"/>
    <n v="2278.9"/>
    <n v="2626.9"/>
    <x v="1"/>
    <n v="0.05"/>
    <x v="2"/>
    <x v="0"/>
    <x v="15"/>
  </r>
  <r>
    <n v="1090"/>
    <x v="50"/>
    <x v="4"/>
    <x v="1"/>
    <n v="267.77999999999997"/>
    <n v="32"/>
    <x v="3"/>
    <n v="2678.99"/>
    <n v="3152.2799999999997"/>
    <x v="0"/>
    <n v="0.22"/>
    <x v="0"/>
    <x v="1"/>
    <x v="17"/>
  </r>
  <r>
    <n v="1053"/>
    <x v="51"/>
    <x v="1"/>
    <x v="3"/>
    <n v="7724.57"/>
    <n v="29"/>
    <x v="3"/>
    <n v="3741.3"/>
    <n v="4061.04"/>
    <x v="0"/>
    <n v="0.21"/>
    <x v="2"/>
    <x v="0"/>
    <x v="16"/>
  </r>
  <r>
    <n v="1002"/>
    <x v="52"/>
    <x v="1"/>
    <x v="3"/>
    <n v="8090.84"/>
    <n v="21"/>
    <x v="2"/>
    <n v="4138.41"/>
    <n v="4361.7"/>
    <x v="0"/>
    <n v="7.0000000000000007E-2"/>
    <x v="2"/>
    <x v="1"/>
    <x v="16"/>
  </r>
  <r>
    <n v="1084"/>
    <x v="53"/>
    <x v="4"/>
    <x v="1"/>
    <n v="1290.05"/>
    <n v="21"/>
    <x v="0"/>
    <n v="3497.98"/>
    <n v="3765.31"/>
    <x v="1"/>
    <n v="0.08"/>
    <x v="0"/>
    <x v="0"/>
    <x v="17"/>
  </r>
  <r>
    <n v="1092"/>
    <x v="54"/>
    <x v="2"/>
    <x v="3"/>
    <n v="2729.27"/>
    <n v="40"/>
    <x v="3"/>
    <n v="4624.16"/>
    <n v="4731.9799999999996"/>
    <x v="1"/>
    <n v="0.2"/>
    <x v="1"/>
    <x v="1"/>
    <x v="4"/>
  </r>
  <r>
    <n v="1060"/>
    <x v="55"/>
    <x v="3"/>
    <x v="3"/>
    <n v="273.77"/>
    <n v="23"/>
    <x v="2"/>
    <n v="4110.6000000000004"/>
    <n v="4488.3700000000008"/>
    <x v="1"/>
    <n v="0.12"/>
    <x v="2"/>
    <x v="0"/>
    <x v="14"/>
  </r>
  <r>
    <n v="1071"/>
    <x v="56"/>
    <x v="3"/>
    <x v="1"/>
    <n v="3003.76"/>
    <n v="6"/>
    <x v="0"/>
    <n v="2831.23"/>
    <n v="3206.98"/>
    <x v="0"/>
    <n v="0.06"/>
    <x v="1"/>
    <x v="1"/>
    <x v="8"/>
  </r>
  <r>
    <n v="1044"/>
    <x v="57"/>
    <x v="1"/>
    <x v="2"/>
    <n v="7754.1"/>
    <n v="22"/>
    <x v="1"/>
    <n v="3373.46"/>
    <n v="3454.76"/>
    <x v="0"/>
    <n v="0.22"/>
    <x v="1"/>
    <x v="1"/>
    <x v="2"/>
  </r>
  <r>
    <n v="1008"/>
    <x v="58"/>
    <x v="3"/>
    <x v="0"/>
    <n v="5227.8100000000004"/>
    <n v="38"/>
    <x v="2"/>
    <n v="4635.2299999999996"/>
    <n v="5075.4399999999996"/>
    <x v="0"/>
    <n v="0.05"/>
    <x v="0"/>
    <x v="0"/>
    <x v="7"/>
  </r>
  <r>
    <n v="1047"/>
    <x v="59"/>
    <x v="4"/>
    <x v="3"/>
    <n v="3546.15"/>
    <n v="37"/>
    <x v="3"/>
    <n v="3114.88"/>
    <n v="3256.78"/>
    <x v="0"/>
    <n v="0.26"/>
    <x v="2"/>
    <x v="0"/>
    <x v="18"/>
  </r>
  <r>
    <n v="1035"/>
    <x v="60"/>
    <x v="4"/>
    <x v="2"/>
    <n v="3780.22"/>
    <n v="45"/>
    <x v="1"/>
    <n v="4132.79"/>
    <n v="4624.1000000000004"/>
    <x v="1"/>
    <n v="0.15"/>
    <x v="2"/>
    <x v="1"/>
    <x v="9"/>
  </r>
  <r>
    <n v="1078"/>
    <x v="10"/>
    <x v="1"/>
    <x v="3"/>
    <n v="113.4"/>
    <n v="8"/>
    <x v="0"/>
    <n v="3459.61"/>
    <n v="3657.23"/>
    <x v="0"/>
    <n v="0.03"/>
    <x v="1"/>
    <x v="0"/>
    <x v="16"/>
  </r>
  <r>
    <n v="1081"/>
    <x v="61"/>
    <x v="1"/>
    <x v="3"/>
    <n v="3068.03"/>
    <n v="41"/>
    <x v="0"/>
    <n v="2782.08"/>
    <n v="2879.24"/>
    <x v="1"/>
    <n v="0.21"/>
    <x v="1"/>
    <x v="0"/>
    <x v="16"/>
  </r>
  <r>
    <n v="1036"/>
    <x v="62"/>
    <x v="1"/>
    <x v="0"/>
    <n v="6499.94"/>
    <n v="49"/>
    <x v="2"/>
    <n v="1247.0999999999999"/>
    <n v="1429.4399999999998"/>
    <x v="1"/>
    <n v="0.16"/>
    <x v="0"/>
    <x v="0"/>
    <x v="11"/>
  </r>
  <r>
    <n v="1050"/>
    <x v="63"/>
    <x v="2"/>
    <x v="3"/>
    <n v="9744.52"/>
    <n v="35"/>
    <x v="2"/>
    <n v="2158.69"/>
    <n v="2384.38"/>
    <x v="0"/>
    <n v="0.09"/>
    <x v="1"/>
    <x v="1"/>
    <x v="4"/>
  </r>
  <r>
    <n v="1004"/>
    <x v="64"/>
    <x v="3"/>
    <x v="0"/>
    <n v="8485.9"/>
    <n v="11"/>
    <x v="2"/>
    <n v="4840.33"/>
    <n v="4884.29"/>
    <x v="1"/>
    <n v="0.13"/>
    <x v="0"/>
    <x v="0"/>
    <x v="7"/>
  </r>
  <r>
    <n v="1002"/>
    <x v="65"/>
    <x v="1"/>
    <x v="0"/>
    <n v="333.59"/>
    <n v="24"/>
    <x v="0"/>
    <n v="3305.94"/>
    <n v="3599.27"/>
    <x v="1"/>
    <n v="0.09"/>
    <x v="2"/>
    <x v="1"/>
    <x v="11"/>
  </r>
  <r>
    <n v="1006"/>
    <x v="66"/>
    <x v="0"/>
    <x v="0"/>
    <n v="8995.75"/>
    <n v="49"/>
    <x v="1"/>
    <n v="2843.76"/>
    <n v="3146.6000000000004"/>
    <x v="1"/>
    <n v="0.08"/>
    <x v="0"/>
    <x v="1"/>
    <x v="0"/>
  </r>
  <r>
    <n v="1054"/>
    <x v="67"/>
    <x v="0"/>
    <x v="2"/>
    <n v="7853.66"/>
    <n v="21"/>
    <x v="0"/>
    <n v="4668.1400000000003"/>
    <n v="5040.22"/>
    <x v="1"/>
    <n v="0.05"/>
    <x v="1"/>
    <x v="0"/>
    <x v="3"/>
  </r>
  <r>
    <n v="1004"/>
    <x v="68"/>
    <x v="4"/>
    <x v="1"/>
    <n v="7825.72"/>
    <n v="2"/>
    <x v="3"/>
    <n v="2953.23"/>
    <n v="2977.52"/>
    <x v="0"/>
    <n v="0.11"/>
    <x v="2"/>
    <x v="1"/>
    <x v="17"/>
  </r>
  <r>
    <n v="1054"/>
    <x v="69"/>
    <x v="3"/>
    <x v="2"/>
    <n v="4634.16"/>
    <n v="40"/>
    <x v="0"/>
    <n v="2654.11"/>
    <n v="2929.32"/>
    <x v="0"/>
    <n v="0.08"/>
    <x v="0"/>
    <x v="0"/>
    <x v="6"/>
  </r>
  <r>
    <n v="1093"/>
    <x v="70"/>
    <x v="1"/>
    <x v="1"/>
    <n v="4040.25"/>
    <n v="19"/>
    <x v="3"/>
    <n v="3808.59"/>
    <n v="3844.51"/>
    <x v="1"/>
    <n v="0.21"/>
    <x v="2"/>
    <x v="0"/>
    <x v="13"/>
  </r>
  <r>
    <n v="1063"/>
    <x v="71"/>
    <x v="0"/>
    <x v="1"/>
    <n v="3098.87"/>
    <n v="39"/>
    <x v="1"/>
    <n v="3577.69"/>
    <n v="3931.25"/>
    <x v="0"/>
    <n v="0.21"/>
    <x v="0"/>
    <x v="1"/>
    <x v="1"/>
  </r>
  <r>
    <n v="1018"/>
    <x v="72"/>
    <x v="3"/>
    <x v="0"/>
    <n v="750.38"/>
    <n v="28"/>
    <x v="2"/>
    <n v="1006.14"/>
    <n v="1043.45"/>
    <x v="1"/>
    <n v="0.15"/>
    <x v="1"/>
    <x v="1"/>
    <x v="7"/>
  </r>
  <r>
    <n v="1090"/>
    <x v="73"/>
    <x v="4"/>
    <x v="3"/>
    <n v="2359.5300000000002"/>
    <n v="17"/>
    <x v="2"/>
    <n v="2382.98"/>
    <n v="2839.73"/>
    <x v="0"/>
    <n v="0.23"/>
    <x v="1"/>
    <x v="1"/>
    <x v="18"/>
  </r>
  <r>
    <n v="1044"/>
    <x v="74"/>
    <x v="2"/>
    <x v="0"/>
    <n v="2541.38"/>
    <n v="6"/>
    <x v="0"/>
    <n v="2388.9499999999998"/>
    <n v="2742.97"/>
    <x v="0"/>
    <n v="0.25"/>
    <x v="2"/>
    <x v="1"/>
    <x v="19"/>
  </r>
  <r>
    <n v="1034"/>
    <x v="75"/>
    <x v="3"/>
    <x v="3"/>
    <n v="4892.3599999999997"/>
    <n v="19"/>
    <x v="2"/>
    <n v="1922.21"/>
    <n v="2180.83"/>
    <x v="0"/>
    <n v="0.17"/>
    <x v="2"/>
    <x v="1"/>
    <x v="14"/>
  </r>
  <r>
    <n v="1074"/>
    <x v="76"/>
    <x v="3"/>
    <x v="1"/>
    <n v="7499.7"/>
    <n v="38"/>
    <x v="1"/>
    <n v="2610.6"/>
    <n v="2836.94"/>
    <x v="0"/>
    <n v="0.19"/>
    <x v="2"/>
    <x v="0"/>
    <x v="8"/>
  </r>
  <r>
    <n v="1062"/>
    <x v="77"/>
    <x v="2"/>
    <x v="0"/>
    <n v="4790.72"/>
    <n v="28"/>
    <x v="2"/>
    <n v="2094.88"/>
    <n v="2168.9100000000003"/>
    <x v="0"/>
    <n v="0.08"/>
    <x v="0"/>
    <x v="1"/>
    <x v="19"/>
  </r>
  <r>
    <n v="1100"/>
    <x v="78"/>
    <x v="3"/>
    <x v="3"/>
    <n v="672.66"/>
    <n v="2"/>
    <x v="0"/>
    <n v="1036.76"/>
    <n v="1189.3499999999999"/>
    <x v="1"/>
    <n v="0.27"/>
    <x v="1"/>
    <x v="0"/>
    <x v="14"/>
  </r>
  <r>
    <n v="1014"/>
    <x v="6"/>
    <x v="4"/>
    <x v="2"/>
    <n v="9582.1200000000008"/>
    <n v="38"/>
    <x v="1"/>
    <n v="2091.21"/>
    <n v="2527"/>
    <x v="0"/>
    <n v="0.01"/>
    <x v="2"/>
    <x v="0"/>
    <x v="9"/>
  </r>
  <r>
    <n v="1095"/>
    <x v="79"/>
    <x v="4"/>
    <x v="3"/>
    <n v="9432.9699999999993"/>
    <n v="37"/>
    <x v="3"/>
    <n v="407.77"/>
    <n v="860.95"/>
    <x v="1"/>
    <n v="0.1"/>
    <x v="2"/>
    <x v="1"/>
    <x v="18"/>
  </r>
  <r>
    <n v="1048"/>
    <x v="80"/>
    <x v="2"/>
    <x v="0"/>
    <n v="7873.38"/>
    <n v="4"/>
    <x v="0"/>
    <n v="2900.14"/>
    <n v="2910.5099999999998"/>
    <x v="1"/>
    <n v="0.22"/>
    <x v="2"/>
    <x v="1"/>
    <x v="19"/>
  </r>
  <r>
    <n v="1015"/>
    <x v="81"/>
    <x v="1"/>
    <x v="2"/>
    <n v="9914.15"/>
    <n v="22"/>
    <x v="3"/>
    <n v="4275.59"/>
    <n v="4576.72"/>
    <x v="0"/>
    <n v="0.02"/>
    <x v="0"/>
    <x v="1"/>
    <x v="2"/>
  </r>
  <r>
    <n v="1072"/>
    <x v="61"/>
    <x v="0"/>
    <x v="3"/>
    <n v="5490.38"/>
    <n v="26"/>
    <x v="1"/>
    <n v="3640.17"/>
    <n v="4002.63"/>
    <x v="1"/>
    <n v="0.05"/>
    <x v="2"/>
    <x v="1"/>
    <x v="12"/>
  </r>
  <r>
    <n v="1078"/>
    <x v="41"/>
    <x v="1"/>
    <x v="3"/>
    <n v="9631.41"/>
    <n v="49"/>
    <x v="0"/>
    <n v="1833.95"/>
    <n v="2147.14"/>
    <x v="0"/>
    <n v="0.18"/>
    <x v="2"/>
    <x v="1"/>
    <x v="16"/>
  </r>
  <r>
    <n v="1087"/>
    <x v="25"/>
    <x v="3"/>
    <x v="3"/>
    <n v="848.49"/>
    <n v="43"/>
    <x v="0"/>
    <n v="481"/>
    <n v="531.02"/>
    <x v="1"/>
    <n v="0.17"/>
    <x v="0"/>
    <x v="0"/>
    <x v="14"/>
  </r>
  <r>
    <n v="1062"/>
    <x v="82"/>
    <x v="0"/>
    <x v="3"/>
    <n v="3720.24"/>
    <n v="36"/>
    <x v="1"/>
    <n v="1050.6400000000001"/>
    <n v="1167.3300000000002"/>
    <x v="1"/>
    <n v="0.22"/>
    <x v="0"/>
    <x v="0"/>
    <x v="12"/>
  </r>
  <r>
    <n v="1040"/>
    <x v="83"/>
    <x v="2"/>
    <x v="3"/>
    <n v="2331.27"/>
    <n v="13"/>
    <x v="2"/>
    <n v="2750.18"/>
    <n v="2882.85"/>
    <x v="0"/>
    <n v="0.24"/>
    <x v="2"/>
    <x v="0"/>
    <x v="4"/>
  </r>
  <r>
    <n v="1085"/>
    <x v="24"/>
    <x v="2"/>
    <x v="2"/>
    <n v="2038.75"/>
    <n v="32"/>
    <x v="0"/>
    <n v="1074.93"/>
    <n v="1492.48"/>
    <x v="0"/>
    <n v="0.04"/>
    <x v="2"/>
    <x v="1"/>
    <x v="10"/>
  </r>
  <r>
    <n v="1080"/>
    <x v="3"/>
    <x v="0"/>
    <x v="1"/>
    <n v="1493.95"/>
    <n v="17"/>
    <x v="0"/>
    <n v="2742.67"/>
    <n v="2979.64"/>
    <x v="0"/>
    <n v="0.01"/>
    <x v="0"/>
    <x v="1"/>
    <x v="1"/>
  </r>
  <r>
    <n v="1082"/>
    <x v="84"/>
    <x v="4"/>
    <x v="2"/>
    <n v="6261.9"/>
    <n v="41"/>
    <x v="3"/>
    <n v="1196.42"/>
    <n v="1444.97"/>
    <x v="0"/>
    <n v="0.21"/>
    <x v="1"/>
    <x v="0"/>
    <x v="9"/>
  </r>
  <r>
    <n v="1053"/>
    <x v="28"/>
    <x v="0"/>
    <x v="2"/>
    <n v="7835.09"/>
    <n v="36"/>
    <x v="2"/>
    <n v="4252.17"/>
    <n v="4720.2700000000004"/>
    <x v="1"/>
    <n v="0.09"/>
    <x v="0"/>
    <x v="1"/>
    <x v="3"/>
  </r>
  <r>
    <n v="1024"/>
    <x v="85"/>
    <x v="3"/>
    <x v="2"/>
    <n v="5825.15"/>
    <n v="46"/>
    <x v="3"/>
    <n v="2016.49"/>
    <n v="2338.66"/>
    <x v="0"/>
    <n v="0.19"/>
    <x v="1"/>
    <x v="1"/>
    <x v="6"/>
  </r>
  <r>
    <n v="1026"/>
    <x v="86"/>
    <x v="4"/>
    <x v="1"/>
    <n v="1554.93"/>
    <n v="19"/>
    <x v="3"/>
    <n v="1265.48"/>
    <n v="1715.83"/>
    <x v="1"/>
    <n v="0.05"/>
    <x v="2"/>
    <x v="1"/>
    <x v="17"/>
  </r>
  <r>
    <n v="1089"/>
    <x v="58"/>
    <x v="2"/>
    <x v="0"/>
    <n v="8130.13"/>
    <n v="35"/>
    <x v="2"/>
    <n v="4071.01"/>
    <n v="4304.7"/>
    <x v="1"/>
    <n v="0.14000000000000001"/>
    <x v="2"/>
    <x v="0"/>
    <x v="19"/>
  </r>
  <r>
    <n v="1060"/>
    <x v="87"/>
    <x v="0"/>
    <x v="1"/>
    <n v="6395.95"/>
    <n v="46"/>
    <x v="2"/>
    <n v="1747.05"/>
    <n v="1830.27"/>
    <x v="1"/>
    <n v="0.15"/>
    <x v="1"/>
    <x v="1"/>
    <x v="1"/>
  </r>
  <r>
    <n v="1041"/>
    <x v="10"/>
    <x v="1"/>
    <x v="2"/>
    <n v="3942.84"/>
    <n v="40"/>
    <x v="1"/>
    <n v="601.86"/>
    <n v="1067.53"/>
    <x v="1"/>
    <n v="0.18"/>
    <x v="0"/>
    <x v="0"/>
    <x v="2"/>
  </r>
  <r>
    <n v="1029"/>
    <x v="88"/>
    <x v="1"/>
    <x v="3"/>
    <n v="6773.89"/>
    <n v="28"/>
    <x v="2"/>
    <n v="2873.53"/>
    <n v="3108.3"/>
    <x v="1"/>
    <n v="0.15"/>
    <x v="2"/>
    <x v="1"/>
    <x v="16"/>
  </r>
  <r>
    <n v="1015"/>
    <x v="10"/>
    <x v="3"/>
    <x v="3"/>
    <n v="2673.06"/>
    <n v="1"/>
    <x v="0"/>
    <n v="2928.74"/>
    <n v="3027.74"/>
    <x v="1"/>
    <n v="0.15"/>
    <x v="1"/>
    <x v="1"/>
    <x v="14"/>
  </r>
  <r>
    <n v="1045"/>
    <x v="89"/>
    <x v="1"/>
    <x v="2"/>
    <n v="3517.4"/>
    <n v="42"/>
    <x v="2"/>
    <n v="3587.74"/>
    <n v="3745.91"/>
    <x v="0"/>
    <n v="0.1"/>
    <x v="0"/>
    <x v="0"/>
    <x v="2"/>
  </r>
  <r>
    <n v="1065"/>
    <x v="90"/>
    <x v="0"/>
    <x v="3"/>
    <n v="9183.11"/>
    <n v="18"/>
    <x v="1"/>
    <n v="1239.0899999999999"/>
    <n v="1273.98"/>
    <x v="1"/>
    <n v="0.02"/>
    <x v="1"/>
    <x v="1"/>
    <x v="12"/>
  </r>
  <r>
    <n v="1089"/>
    <x v="91"/>
    <x v="0"/>
    <x v="2"/>
    <n v="2975.99"/>
    <n v="48"/>
    <x v="1"/>
    <n v="2246.67"/>
    <n v="2486.14"/>
    <x v="1"/>
    <n v="0.03"/>
    <x v="0"/>
    <x v="1"/>
    <x v="3"/>
  </r>
  <r>
    <n v="1071"/>
    <x v="92"/>
    <x v="1"/>
    <x v="3"/>
    <n v="4752.88"/>
    <n v="40"/>
    <x v="1"/>
    <n v="1447.72"/>
    <n v="1875.75"/>
    <x v="1"/>
    <n v="0.13"/>
    <x v="0"/>
    <x v="1"/>
    <x v="16"/>
  </r>
  <r>
    <n v="1009"/>
    <x v="14"/>
    <x v="0"/>
    <x v="1"/>
    <n v="8912.4"/>
    <n v="33"/>
    <x v="2"/>
    <n v="450.72"/>
    <n v="918.17000000000007"/>
    <x v="0"/>
    <n v="0.11"/>
    <x v="0"/>
    <x v="0"/>
    <x v="1"/>
  </r>
  <r>
    <n v="1088"/>
    <x v="93"/>
    <x v="3"/>
    <x v="0"/>
    <n v="7106.44"/>
    <n v="12"/>
    <x v="2"/>
    <n v="4389.24"/>
    <n v="4856.2199999999993"/>
    <x v="0"/>
    <n v="0.15"/>
    <x v="0"/>
    <x v="1"/>
    <x v="7"/>
  </r>
  <r>
    <n v="1001"/>
    <x v="94"/>
    <x v="4"/>
    <x v="0"/>
    <n v="715.81"/>
    <n v="8"/>
    <x v="3"/>
    <n v="3657.91"/>
    <n v="3729.27"/>
    <x v="1"/>
    <n v="0.09"/>
    <x v="1"/>
    <x v="1"/>
    <x v="15"/>
  </r>
  <r>
    <n v="1008"/>
    <x v="95"/>
    <x v="3"/>
    <x v="1"/>
    <n v="1558.3"/>
    <n v="24"/>
    <x v="3"/>
    <n v="1542.24"/>
    <n v="1739.45"/>
    <x v="0"/>
    <n v="0.21"/>
    <x v="1"/>
    <x v="1"/>
    <x v="8"/>
  </r>
  <r>
    <n v="1088"/>
    <x v="96"/>
    <x v="3"/>
    <x v="1"/>
    <n v="177.63"/>
    <n v="16"/>
    <x v="0"/>
    <n v="3016.9"/>
    <n v="3040.73"/>
    <x v="1"/>
    <n v="0.26"/>
    <x v="1"/>
    <x v="1"/>
    <x v="8"/>
  </r>
  <r>
    <n v="1063"/>
    <x v="97"/>
    <x v="0"/>
    <x v="2"/>
    <n v="6346.13"/>
    <n v="4"/>
    <x v="3"/>
    <n v="1046.26"/>
    <n v="1475.29"/>
    <x v="0"/>
    <n v="0.09"/>
    <x v="1"/>
    <x v="1"/>
    <x v="3"/>
  </r>
  <r>
    <n v="1011"/>
    <x v="98"/>
    <x v="4"/>
    <x v="2"/>
    <n v="4531.97"/>
    <n v="38"/>
    <x v="0"/>
    <n v="4456.67"/>
    <n v="4642.46"/>
    <x v="1"/>
    <n v="0.06"/>
    <x v="1"/>
    <x v="0"/>
    <x v="9"/>
  </r>
  <r>
    <n v="1081"/>
    <x v="99"/>
    <x v="0"/>
    <x v="2"/>
    <n v="1429.32"/>
    <n v="44"/>
    <x v="1"/>
    <n v="618.79"/>
    <n v="938.04"/>
    <x v="0"/>
    <n v="0.03"/>
    <x v="0"/>
    <x v="0"/>
    <x v="3"/>
  </r>
  <r>
    <n v="1008"/>
    <x v="100"/>
    <x v="2"/>
    <x v="3"/>
    <n v="9583.5499999999993"/>
    <n v="27"/>
    <x v="3"/>
    <n v="68.989999999999995"/>
    <n v="429.29"/>
    <x v="0"/>
    <n v="0.18"/>
    <x v="2"/>
    <x v="1"/>
    <x v="4"/>
  </r>
  <r>
    <n v="1035"/>
    <x v="101"/>
    <x v="0"/>
    <x v="2"/>
    <n v="5343.63"/>
    <n v="9"/>
    <x v="2"/>
    <n v="2534.94"/>
    <n v="2755.56"/>
    <x v="0"/>
    <n v="0.13"/>
    <x v="2"/>
    <x v="1"/>
    <x v="3"/>
  </r>
  <r>
    <n v="1035"/>
    <x v="42"/>
    <x v="0"/>
    <x v="1"/>
    <n v="2494.7399999999998"/>
    <n v="47"/>
    <x v="3"/>
    <n v="2936.48"/>
    <n v="3096.64"/>
    <x v="1"/>
    <n v="0.06"/>
    <x v="1"/>
    <x v="0"/>
    <x v="1"/>
  </r>
  <r>
    <n v="1033"/>
    <x v="102"/>
    <x v="0"/>
    <x v="0"/>
    <n v="5055.9799999999996"/>
    <n v="16"/>
    <x v="0"/>
    <n v="2915.88"/>
    <n v="3397.36"/>
    <x v="1"/>
    <n v="0.2"/>
    <x v="1"/>
    <x v="1"/>
    <x v="0"/>
  </r>
  <r>
    <n v="1005"/>
    <x v="103"/>
    <x v="4"/>
    <x v="3"/>
    <n v="6828.24"/>
    <n v="12"/>
    <x v="3"/>
    <n v="319.83"/>
    <n v="802.43000000000006"/>
    <x v="1"/>
    <n v="0.04"/>
    <x v="2"/>
    <x v="1"/>
    <x v="18"/>
  </r>
  <r>
    <n v="1041"/>
    <x v="104"/>
    <x v="0"/>
    <x v="2"/>
    <n v="854.77"/>
    <n v="31"/>
    <x v="1"/>
    <n v="1604.52"/>
    <n v="1756.34"/>
    <x v="0"/>
    <n v="0.17"/>
    <x v="0"/>
    <x v="1"/>
    <x v="3"/>
  </r>
  <r>
    <n v="1028"/>
    <x v="5"/>
    <x v="4"/>
    <x v="3"/>
    <n v="2819.57"/>
    <n v="24"/>
    <x v="2"/>
    <n v="2521.0300000000002"/>
    <n v="2766.05"/>
    <x v="0"/>
    <n v="0.16"/>
    <x v="1"/>
    <x v="1"/>
    <x v="18"/>
  </r>
  <r>
    <n v="1007"/>
    <x v="103"/>
    <x v="1"/>
    <x v="3"/>
    <n v="8088.96"/>
    <n v="14"/>
    <x v="0"/>
    <n v="1122.07"/>
    <n v="1608.76"/>
    <x v="1"/>
    <n v="0.22"/>
    <x v="0"/>
    <x v="1"/>
    <x v="16"/>
  </r>
  <r>
    <n v="1073"/>
    <x v="87"/>
    <x v="2"/>
    <x v="2"/>
    <n v="4650.68"/>
    <n v="45"/>
    <x v="2"/>
    <n v="4369.5"/>
    <n v="4381.8900000000003"/>
    <x v="0"/>
    <n v="0.02"/>
    <x v="2"/>
    <x v="1"/>
    <x v="10"/>
  </r>
  <r>
    <n v="1072"/>
    <x v="90"/>
    <x v="4"/>
    <x v="3"/>
    <n v="5511.11"/>
    <n v="25"/>
    <x v="2"/>
    <n v="481.19"/>
    <n v="693.4"/>
    <x v="1"/>
    <n v="0.27"/>
    <x v="2"/>
    <x v="1"/>
    <x v="18"/>
  </r>
  <r>
    <n v="1012"/>
    <x v="105"/>
    <x v="1"/>
    <x v="0"/>
    <n v="4384.88"/>
    <n v="34"/>
    <x v="0"/>
    <n v="2462.5500000000002"/>
    <n v="2521.77"/>
    <x v="1"/>
    <n v="0.21"/>
    <x v="1"/>
    <x v="1"/>
    <x v="11"/>
  </r>
  <r>
    <n v="1034"/>
    <x v="106"/>
    <x v="4"/>
    <x v="1"/>
    <n v="534.61"/>
    <n v="3"/>
    <x v="2"/>
    <n v="3472.51"/>
    <n v="3732"/>
    <x v="1"/>
    <n v="0.06"/>
    <x v="0"/>
    <x v="0"/>
    <x v="17"/>
  </r>
  <r>
    <n v="1033"/>
    <x v="107"/>
    <x v="4"/>
    <x v="1"/>
    <n v="1740.92"/>
    <n v="24"/>
    <x v="2"/>
    <n v="1345.67"/>
    <n v="1367.76"/>
    <x v="1"/>
    <n v="0.06"/>
    <x v="1"/>
    <x v="0"/>
    <x v="17"/>
  </r>
  <r>
    <n v="1048"/>
    <x v="108"/>
    <x v="2"/>
    <x v="0"/>
    <n v="4510.8599999999997"/>
    <n v="42"/>
    <x v="3"/>
    <n v="3139.99"/>
    <n v="3349.37"/>
    <x v="0"/>
    <n v="0.13"/>
    <x v="2"/>
    <x v="1"/>
    <x v="19"/>
  </r>
  <r>
    <n v="1023"/>
    <x v="109"/>
    <x v="3"/>
    <x v="3"/>
    <n v="2170.94"/>
    <n v="9"/>
    <x v="2"/>
    <n v="4155.46"/>
    <n v="4273.6000000000004"/>
    <x v="0"/>
    <n v="0.25"/>
    <x v="0"/>
    <x v="1"/>
    <x v="14"/>
  </r>
  <r>
    <n v="1062"/>
    <x v="110"/>
    <x v="3"/>
    <x v="2"/>
    <n v="594.79"/>
    <n v="26"/>
    <x v="2"/>
    <n v="992.17"/>
    <n v="1263.49"/>
    <x v="0"/>
    <n v="0.25"/>
    <x v="1"/>
    <x v="1"/>
    <x v="6"/>
  </r>
  <r>
    <n v="1088"/>
    <x v="111"/>
    <x v="4"/>
    <x v="3"/>
    <n v="8452.1299999999992"/>
    <n v="20"/>
    <x v="2"/>
    <n v="4590.24"/>
    <n v="5088.28"/>
    <x v="1"/>
    <n v="0.16"/>
    <x v="1"/>
    <x v="1"/>
    <x v="18"/>
  </r>
  <r>
    <n v="1037"/>
    <x v="112"/>
    <x v="0"/>
    <x v="0"/>
    <n v="9813.81"/>
    <n v="40"/>
    <x v="2"/>
    <n v="2790.11"/>
    <n v="3192.37"/>
    <x v="0"/>
    <n v="0.26"/>
    <x v="1"/>
    <x v="0"/>
    <x v="0"/>
  </r>
  <r>
    <n v="1099"/>
    <x v="113"/>
    <x v="1"/>
    <x v="3"/>
    <n v="7952.11"/>
    <n v="10"/>
    <x v="0"/>
    <n v="1531.2"/>
    <n v="1955.56"/>
    <x v="1"/>
    <n v="0"/>
    <x v="2"/>
    <x v="0"/>
    <x v="16"/>
  </r>
  <r>
    <n v="1044"/>
    <x v="114"/>
    <x v="0"/>
    <x v="1"/>
    <n v="8552.4699999999993"/>
    <n v="19"/>
    <x v="1"/>
    <n v="2182.75"/>
    <n v="2504.0299999999997"/>
    <x v="1"/>
    <n v="0.01"/>
    <x v="1"/>
    <x v="0"/>
    <x v="1"/>
  </r>
  <r>
    <n v="1086"/>
    <x v="115"/>
    <x v="0"/>
    <x v="3"/>
    <n v="2495.5700000000002"/>
    <n v="3"/>
    <x v="3"/>
    <n v="1595.35"/>
    <n v="1625.7099999999998"/>
    <x v="1"/>
    <n v="0.27"/>
    <x v="0"/>
    <x v="0"/>
    <x v="12"/>
  </r>
  <r>
    <n v="1091"/>
    <x v="116"/>
    <x v="4"/>
    <x v="0"/>
    <n v="9610.2099999999991"/>
    <n v="24"/>
    <x v="2"/>
    <n v="3639.3"/>
    <n v="3750.63"/>
    <x v="1"/>
    <n v="0.23"/>
    <x v="1"/>
    <x v="1"/>
    <x v="15"/>
  </r>
  <r>
    <n v="1035"/>
    <x v="53"/>
    <x v="4"/>
    <x v="1"/>
    <n v="2049.56"/>
    <n v="5"/>
    <x v="2"/>
    <n v="3991.69"/>
    <n v="4454.97"/>
    <x v="1"/>
    <n v="0.14000000000000001"/>
    <x v="2"/>
    <x v="1"/>
    <x v="17"/>
  </r>
  <r>
    <n v="1065"/>
    <x v="117"/>
    <x v="4"/>
    <x v="3"/>
    <n v="9519.16"/>
    <n v="3"/>
    <x v="0"/>
    <n v="4173.04"/>
    <n v="4362.4399999999996"/>
    <x v="1"/>
    <n v="0.23"/>
    <x v="1"/>
    <x v="1"/>
    <x v="18"/>
  </r>
  <r>
    <n v="1099"/>
    <x v="106"/>
    <x v="4"/>
    <x v="3"/>
    <n v="9948.7099999999991"/>
    <n v="27"/>
    <x v="1"/>
    <n v="4929.55"/>
    <n v="4990.33"/>
    <x v="0"/>
    <n v="0.28999999999999998"/>
    <x v="2"/>
    <x v="0"/>
    <x v="18"/>
  </r>
  <r>
    <n v="1047"/>
    <x v="106"/>
    <x v="3"/>
    <x v="1"/>
    <n v="7146.06"/>
    <n v="16"/>
    <x v="2"/>
    <n v="3966.86"/>
    <n v="4321.04"/>
    <x v="0"/>
    <n v="0.23"/>
    <x v="2"/>
    <x v="1"/>
    <x v="8"/>
  </r>
  <r>
    <n v="1078"/>
    <x v="118"/>
    <x v="4"/>
    <x v="2"/>
    <n v="9813.32"/>
    <n v="49"/>
    <x v="0"/>
    <n v="3026.85"/>
    <n v="3183.58"/>
    <x v="0"/>
    <n v="0.25"/>
    <x v="0"/>
    <x v="1"/>
    <x v="9"/>
  </r>
  <r>
    <n v="1003"/>
    <x v="18"/>
    <x v="3"/>
    <x v="1"/>
    <n v="5738.44"/>
    <n v="15"/>
    <x v="3"/>
    <n v="1729.14"/>
    <n v="1870.88"/>
    <x v="0"/>
    <n v="0.23"/>
    <x v="0"/>
    <x v="0"/>
    <x v="8"/>
  </r>
  <r>
    <n v="1001"/>
    <x v="39"/>
    <x v="3"/>
    <x v="2"/>
    <n v="2669.46"/>
    <n v="35"/>
    <x v="3"/>
    <n v="2745.75"/>
    <n v="3244.76"/>
    <x v="1"/>
    <n v="0.05"/>
    <x v="1"/>
    <x v="0"/>
    <x v="6"/>
  </r>
  <r>
    <n v="1005"/>
    <x v="119"/>
    <x v="4"/>
    <x v="0"/>
    <n v="4426.26"/>
    <n v="12"/>
    <x v="2"/>
    <n v="253.29"/>
    <n v="683.78"/>
    <x v="1"/>
    <n v="0.25"/>
    <x v="2"/>
    <x v="0"/>
    <x v="15"/>
  </r>
  <r>
    <n v="1090"/>
    <x v="109"/>
    <x v="2"/>
    <x v="0"/>
    <n v="5976.25"/>
    <n v="41"/>
    <x v="2"/>
    <n v="3736.88"/>
    <n v="3946.77"/>
    <x v="0"/>
    <n v="0.06"/>
    <x v="2"/>
    <x v="0"/>
    <x v="19"/>
  </r>
  <r>
    <n v="1014"/>
    <x v="5"/>
    <x v="1"/>
    <x v="1"/>
    <n v="823.51"/>
    <n v="44"/>
    <x v="1"/>
    <n v="2257.48"/>
    <n v="2747.81"/>
    <x v="0"/>
    <n v="0.27"/>
    <x v="0"/>
    <x v="0"/>
    <x v="13"/>
  </r>
  <r>
    <n v="1027"/>
    <x v="120"/>
    <x v="0"/>
    <x v="1"/>
    <n v="6261.2"/>
    <n v="26"/>
    <x v="1"/>
    <n v="149.11000000000001"/>
    <n v="477.67"/>
    <x v="0"/>
    <n v="0.14000000000000001"/>
    <x v="0"/>
    <x v="1"/>
    <x v="1"/>
  </r>
  <r>
    <n v="1009"/>
    <x v="1"/>
    <x v="3"/>
    <x v="0"/>
    <n v="9813.66"/>
    <n v="47"/>
    <x v="2"/>
    <n v="359.41"/>
    <n v="733"/>
    <x v="0"/>
    <n v="0.2"/>
    <x v="1"/>
    <x v="1"/>
    <x v="7"/>
  </r>
  <r>
    <n v="1079"/>
    <x v="121"/>
    <x v="1"/>
    <x v="2"/>
    <n v="1982.07"/>
    <n v="34"/>
    <x v="0"/>
    <n v="1967.96"/>
    <n v="1993.4"/>
    <x v="0"/>
    <n v="0.15"/>
    <x v="2"/>
    <x v="0"/>
    <x v="2"/>
  </r>
  <r>
    <n v="1015"/>
    <x v="15"/>
    <x v="2"/>
    <x v="0"/>
    <n v="7946.69"/>
    <n v="23"/>
    <x v="1"/>
    <n v="2937.94"/>
    <n v="3007.53"/>
    <x v="0"/>
    <n v="0.03"/>
    <x v="0"/>
    <x v="1"/>
    <x v="19"/>
  </r>
  <r>
    <n v="1090"/>
    <x v="122"/>
    <x v="0"/>
    <x v="1"/>
    <n v="9088.2000000000007"/>
    <n v="31"/>
    <x v="2"/>
    <n v="2347.81"/>
    <n v="2668.02"/>
    <x v="0"/>
    <n v="0.09"/>
    <x v="1"/>
    <x v="1"/>
    <x v="1"/>
  </r>
  <r>
    <n v="1042"/>
    <x v="121"/>
    <x v="0"/>
    <x v="0"/>
    <n v="9442.65"/>
    <n v="20"/>
    <x v="1"/>
    <n v="3115.06"/>
    <n v="3565.58"/>
    <x v="0"/>
    <n v="0.3"/>
    <x v="2"/>
    <x v="1"/>
    <x v="0"/>
  </r>
  <r>
    <n v="1077"/>
    <x v="61"/>
    <x v="3"/>
    <x v="1"/>
    <n v="9605.34"/>
    <n v="12"/>
    <x v="2"/>
    <n v="2427.46"/>
    <n v="2743.09"/>
    <x v="1"/>
    <n v="0.28999999999999998"/>
    <x v="2"/>
    <x v="1"/>
    <x v="8"/>
  </r>
  <r>
    <n v="1051"/>
    <x v="123"/>
    <x v="4"/>
    <x v="1"/>
    <n v="5262.45"/>
    <n v="23"/>
    <x v="3"/>
    <n v="3325.43"/>
    <n v="3401.1"/>
    <x v="1"/>
    <n v="0.1"/>
    <x v="0"/>
    <x v="0"/>
    <x v="17"/>
  </r>
  <r>
    <n v="1063"/>
    <x v="15"/>
    <x v="2"/>
    <x v="0"/>
    <n v="9775.35"/>
    <n v="4"/>
    <x v="2"/>
    <n v="1134.67"/>
    <n v="1201.3900000000001"/>
    <x v="1"/>
    <n v="0.3"/>
    <x v="1"/>
    <x v="1"/>
    <x v="19"/>
  </r>
  <r>
    <n v="1096"/>
    <x v="124"/>
    <x v="3"/>
    <x v="2"/>
    <n v="7597.37"/>
    <n v="23"/>
    <x v="3"/>
    <n v="608.57000000000005"/>
    <n v="1032.22"/>
    <x v="1"/>
    <n v="0.25"/>
    <x v="0"/>
    <x v="1"/>
    <x v="6"/>
  </r>
  <r>
    <n v="1052"/>
    <x v="125"/>
    <x v="2"/>
    <x v="3"/>
    <n v="1700.55"/>
    <n v="48"/>
    <x v="1"/>
    <n v="3002.35"/>
    <n v="3080.61"/>
    <x v="0"/>
    <n v="0.18"/>
    <x v="1"/>
    <x v="1"/>
    <x v="4"/>
  </r>
  <r>
    <n v="1096"/>
    <x v="126"/>
    <x v="4"/>
    <x v="0"/>
    <n v="4821.3100000000004"/>
    <n v="48"/>
    <x v="2"/>
    <n v="2449.21"/>
    <n v="2714.12"/>
    <x v="1"/>
    <n v="0.01"/>
    <x v="2"/>
    <x v="0"/>
    <x v="15"/>
  </r>
  <r>
    <n v="1004"/>
    <x v="35"/>
    <x v="4"/>
    <x v="3"/>
    <n v="7211.48"/>
    <n v="1"/>
    <x v="1"/>
    <n v="182.99"/>
    <n v="211.18"/>
    <x v="0"/>
    <n v="0.27"/>
    <x v="1"/>
    <x v="1"/>
    <x v="18"/>
  </r>
  <r>
    <n v="1094"/>
    <x v="69"/>
    <x v="3"/>
    <x v="0"/>
    <n v="2548.67"/>
    <n v="25"/>
    <x v="3"/>
    <n v="1933.39"/>
    <n v="1982.92"/>
    <x v="1"/>
    <n v="0.17"/>
    <x v="1"/>
    <x v="0"/>
    <x v="7"/>
  </r>
  <r>
    <n v="1023"/>
    <x v="99"/>
    <x v="4"/>
    <x v="3"/>
    <n v="6442.09"/>
    <n v="2"/>
    <x v="2"/>
    <n v="575.32000000000005"/>
    <n v="914.77"/>
    <x v="0"/>
    <n v="0.26"/>
    <x v="1"/>
    <x v="0"/>
    <x v="18"/>
  </r>
  <r>
    <n v="1015"/>
    <x v="127"/>
    <x v="1"/>
    <x v="2"/>
    <n v="6699.34"/>
    <n v="30"/>
    <x v="1"/>
    <n v="2680.22"/>
    <n v="3027.9199999999996"/>
    <x v="0"/>
    <n v="0.25"/>
    <x v="1"/>
    <x v="0"/>
    <x v="2"/>
  </r>
  <r>
    <n v="1043"/>
    <x v="128"/>
    <x v="0"/>
    <x v="2"/>
    <n v="1710.73"/>
    <n v="3"/>
    <x v="3"/>
    <n v="2009.1"/>
    <n v="2186.42"/>
    <x v="1"/>
    <n v="0.25"/>
    <x v="1"/>
    <x v="0"/>
    <x v="3"/>
  </r>
  <r>
    <n v="1029"/>
    <x v="111"/>
    <x v="3"/>
    <x v="0"/>
    <n v="5694.34"/>
    <n v="21"/>
    <x v="1"/>
    <n v="3085.1"/>
    <n v="3200.75"/>
    <x v="1"/>
    <n v="0.21"/>
    <x v="0"/>
    <x v="1"/>
    <x v="7"/>
  </r>
  <r>
    <n v="1036"/>
    <x v="40"/>
    <x v="2"/>
    <x v="1"/>
    <n v="7739.11"/>
    <n v="25"/>
    <x v="0"/>
    <n v="4037.73"/>
    <n v="4446.45"/>
    <x v="0"/>
    <n v="0.09"/>
    <x v="1"/>
    <x v="0"/>
    <x v="5"/>
  </r>
  <r>
    <n v="1013"/>
    <x v="129"/>
    <x v="1"/>
    <x v="3"/>
    <n v="5039.07"/>
    <n v="20"/>
    <x v="3"/>
    <n v="1533.36"/>
    <n v="1649.7399999999998"/>
    <x v="0"/>
    <n v="0.1"/>
    <x v="1"/>
    <x v="0"/>
    <x v="16"/>
  </r>
  <r>
    <n v="1032"/>
    <x v="130"/>
    <x v="3"/>
    <x v="1"/>
    <n v="219.82"/>
    <n v="49"/>
    <x v="3"/>
    <n v="4812.41"/>
    <n v="5088"/>
    <x v="0"/>
    <n v="0.09"/>
    <x v="2"/>
    <x v="0"/>
    <x v="8"/>
  </r>
  <r>
    <n v="1071"/>
    <x v="131"/>
    <x v="4"/>
    <x v="1"/>
    <n v="189.48"/>
    <n v="22"/>
    <x v="3"/>
    <n v="2701.39"/>
    <n v="3185.81"/>
    <x v="1"/>
    <n v="0.01"/>
    <x v="1"/>
    <x v="0"/>
    <x v="17"/>
  </r>
  <r>
    <n v="1059"/>
    <x v="132"/>
    <x v="4"/>
    <x v="1"/>
    <n v="3634.59"/>
    <n v="21"/>
    <x v="2"/>
    <n v="3110.54"/>
    <n v="3192.99"/>
    <x v="1"/>
    <n v="0.17"/>
    <x v="2"/>
    <x v="0"/>
    <x v="17"/>
  </r>
  <r>
    <n v="1086"/>
    <x v="13"/>
    <x v="4"/>
    <x v="2"/>
    <n v="9269.32"/>
    <n v="33"/>
    <x v="2"/>
    <n v="3419.33"/>
    <n v="3890.3599999999997"/>
    <x v="0"/>
    <n v="0.21"/>
    <x v="0"/>
    <x v="1"/>
    <x v="9"/>
  </r>
  <r>
    <n v="1028"/>
    <x v="133"/>
    <x v="4"/>
    <x v="0"/>
    <n v="2363.9"/>
    <n v="38"/>
    <x v="2"/>
    <n v="3350.32"/>
    <n v="3449.94"/>
    <x v="1"/>
    <n v="0.26"/>
    <x v="0"/>
    <x v="0"/>
    <x v="15"/>
  </r>
  <r>
    <n v="1066"/>
    <x v="134"/>
    <x v="2"/>
    <x v="0"/>
    <n v="6380.2"/>
    <n v="15"/>
    <x v="0"/>
    <n v="2579.31"/>
    <n v="2867.36"/>
    <x v="0"/>
    <n v="0.04"/>
    <x v="1"/>
    <x v="1"/>
    <x v="19"/>
  </r>
  <r>
    <n v="1042"/>
    <x v="120"/>
    <x v="1"/>
    <x v="2"/>
    <n v="2298.5500000000002"/>
    <n v="46"/>
    <x v="0"/>
    <n v="2172.38"/>
    <n v="2367.11"/>
    <x v="1"/>
    <n v="0.16"/>
    <x v="0"/>
    <x v="1"/>
    <x v="2"/>
  </r>
  <r>
    <n v="1045"/>
    <x v="121"/>
    <x v="0"/>
    <x v="2"/>
    <n v="3284.53"/>
    <n v="15"/>
    <x v="3"/>
    <n v="316.22000000000003"/>
    <n v="799.04"/>
    <x v="1"/>
    <n v="0"/>
    <x v="1"/>
    <x v="0"/>
    <x v="3"/>
  </r>
  <r>
    <n v="1062"/>
    <x v="135"/>
    <x v="2"/>
    <x v="0"/>
    <n v="8495.6200000000008"/>
    <n v="46"/>
    <x v="0"/>
    <n v="159.32"/>
    <n v="303.36"/>
    <x v="1"/>
    <n v="0.03"/>
    <x v="0"/>
    <x v="1"/>
    <x v="19"/>
  </r>
  <r>
    <n v="1057"/>
    <x v="70"/>
    <x v="2"/>
    <x v="1"/>
    <n v="7315.73"/>
    <n v="25"/>
    <x v="1"/>
    <n v="1821.91"/>
    <n v="2027.74"/>
    <x v="1"/>
    <n v="0.02"/>
    <x v="1"/>
    <x v="1"/>
    <x v="5"/>
  </r>
  <r>
    <n v="1006"/>
    <x v="121"/>
    <x v="0"/>
    <x v="3"/>
    <n v="1044.45"/>
    <n v="21"/>
    <x v="3"/>
    <n v="1701.62"/>
    <n v="2193.2199999999998"/>
    <x v="1"/>
    <n v="0.22"/>
    <x v="1"/>
    <x v="1"/>
    <x v="12"/>
  </r>
  <r>
    <n v="1028"/>
    <x v="57"/>
    <x v="0"/>
    <x v="3"/>
    <n v="4344.1499999999996"/>
    <n v="24"/>
    <x v="3"/>
    <n v="1969.09"/>
    <n v="2241.96"/>
    <x v="0"/>
    <n v="0.02"/>
    <x v="2"/>
    <x v="0"/>
    <x v="12"/>
  </r>
  <r>
    <n v="1028"/>
    <x v="50"/>
    <x v="4"/>
    <x v="3"/>
    <n v="388.78"/>
    <n v="5"/>
    <x v="1"/>
    <n v="734.92"/>
    <n v="991.21"/>
    <x v="0"/>
    <n v="0.21"/>
    <x v="2"/>
    <x v="0"/>
    <x v="18"/>
  </r>
  <r>
    <n v="1044"/>
    <x v="136"/>
    <x v="2"/>
    <x v="1"/>
    <n v="4860.8100000000004"/>
    <n v="6"/>
    <x v="3"/>
    <n v="3703.93"/>
    <n v="3840.24"/>
    <x v="1"/>
    <n v="7.0000000000000007E-2"/>
    <x v="2"/>
    <x v="0"/>
    <x v="5"/>
  </r>
  <r>
    <n v="1084"/>
    <x v="46"/>
    <x v="3"/>
    <x v="0"/>
    <n v="6658.1"/>
    <n v="49"/>
    <x v="0"/>
    <n v="4291.97"/>
    <n v="4645.6400000000003"/>
    <x v="0"/>
    <n v="0.26"/>
    <x v="2"/>
    <x v="0"/>
    <x v="7"/>
  </r>
  <r>
    <n v="1030"/>
    <x v="75"/>
    <x v="0"/>
    <x v="2"/>
    <n v="1273.18"/>
    <n v="43"/>
    <x v="2"/>
    <n v="4696.6400000000003"/>
    <n v="4713.68"/>
    <x v="0"/>
    <n v="0.24"/>
    <x v="1"/>
    <x v="0"/>
    <x v="3"/>
  </r>
  <r>
    <n v="1062"/>
    <x v="25"/>
    <x v="0"/>
    <x v="0"/>
    <n v="2959.96"/>
    <n v="48"/>
    <x v="1"/>
    <n v="2487.19"/>
    <n v="2521.4500000000003"/>
    <x v="1"/>
    <n v="0.28999999999999998"/>
    <x v="0"/>
    <x v="0"/>
    <x v="0"/>
  </r>
  <r>
    <n v="1075"/>
    <x v="137"/>
    <x v="1"/>
    <x v="1"/>
    <n v="4038.58"/>
    <n v="44"/>
    <x v="0"/>
    <n v="3519.29"/>
    <n v="3822.98"/>
    <x v="0"/>
    <n v="0.27"/>
    <x v="1"/>
    <x v="0"/>
    <x v="13"/>
  </r>
  <r>
    <n v="1092"/>
    <x v="30"/>
    <x v="3"/>
    <x v="2"/>
    <n v="9203.36"/>
    <n v="47"/>
    <x v="1"/>
    <n v="4284.9799999999996"/>
    <n v="4462.3999999999996"/>
    <x v="1"/>
    <n v="0.28000000000000003"/>
    <x v="2"/>
    <x v="1"/>
    <x v="6"/>
  </r>
  <r>
    <n v="1089"/>
    <x v="138"/>
    <x v="3"/>
    <x v="1"/>
    <n v="9933.2199999999993"/>
    <n v="23"/>
    <x v="1"/>
    <n v="2120.54"/>
    <n v="2597.67"/>
    <x v="0"/>
    <n v="0.26"/>
    <x v="2"/>
    <x v="1"/>
    <x v="8"/>
  </r>
  <r>
    <n v="1062"/>
    <x v="9"/>
    <x v="0"/>
    <x v="3"/>
    <n v="544.62"/>
    <n v="4"/>
    <x v="3"/>
    <n v="1581.59"/>
    <n v="2034.1499999999999"/>
    <x v="0"/>
    <n v="0.21"/>
    <x v="0"/>
    <x v="0"/>
    <x v="12"/>
  </r>
  <r>
    <n v="1097"/>
    <x v="139"/>
    <x v="4"/>
    <x v="3"/>
    <n v="7633.98"/>
    <n v="27"/>
    <x v="3"/>
    <n v="4686.79"/>
    <n v="5046.51"/>
    <x v="0"/>
    <n v="0.05"/>
    <x v="2"/>
    <x v="1"/>
    <x v="18"/>
  </r>
  <r>
    <n v="1001"/>
    <x v="140"/>
    <x v="1"/>
    <x v="1"/>
    <n v="3780.07"/>
    <n v="18"/>
    <x v="0"/>
    <n v="2602.6"/>
    <n v="3013.49"/>
    <x v="0"/>
    <n v="0.08"/>
    <x v="1"/>
    <x v="0"/>
    <x v="13"/>
  </r>
  <r>
    <n v="1027"/>
    <x v="83"/>
    <x v="3"/>
    <x v="2"/>
    <n v="3985.34"/>
    <n v="21"/>
    <x v="1"/>
    <n v="2511.41"/>
    <n v="2848.3999999999996"/>
    <x v="0"/>
    <n v="0.06"/>
    <x v="1"/>
    <x v="0"/>
    <x v="6"/>
  </r>
  <r>
    <n v="1062"/>
    <x v="141"/>
    <x v="0"/>
    <x v="2"/>
    <n v="7567.22"/>
    <n v="28"/>
    <x v="3"/>
    <n v="933.16"/>
    <n v="1004.6999999999999"/>
    <x v="0"/>
    <n v="0.18"/>
    <x v="1"/>
    <x v="0"/>
    <x v="3"/>
  </r>
  <r>
    <n v="1077"/>
    <x v="142"/>
    <x v="3"/>
    <x v="0"/>
    <n v="9192.42"/>
    <n v="35"/>
    <x v="3"/>
    <n v="585.37"/>
    <n v="970.49"/>
    <x v="0"/>
    <n v="0.15"/>
    <x v="1"/>
    <x v="1"/>
    <x v="7"/>
  </r>
  <r>
    <n v="1003"/>
    <x v="124"/>
    <x v="1"/>
    <x v="3"/>
    <n v="9514.19"/>
    <n v="22"/>
    <x v="1"/>
    <n v="4218.43"/>
    <n v="4331.42"/>
    <x v="1"/>
    <n v="0.26"/>
    <x v="1"/>
    <x v="0"/>
    <x v="16"/>
  </r>
  <r>
    <n v="1070"/>
    <x v="128"/>
    <x v="1"/>
    <x v="0"/>
    <n v="5813.51"/>
    <n v="40"/>
    <x v="0"/>
    <n v="3089.96"/>
    <n v="3258.45"/>
    <x v="1"/>
    <n v="0.28999999999999998"/>
    <x v="0"/>
    <x v="0"/>
    <x v="11"/>
  </r>
  <r>
    <n v="1072"/>
    <x v="143"/>
    <x v="2"/>
    <x v="0"/>
    <n v="3635.5"/>
    <n v="23"/>
    <x v="0"/>
    <n v="1662.83"/>
    <n v="2074.25"/>
    <x v="1"/>
    <n v="0.12"/>
    <x v="1"/>
    <x v="0"/>
    <x v="19"/>
  </r>
  <r>
    <n v="1027"/>
    <x v="61"/>
    <x v="0"/>
    <x v="1"/>
    <n v="7896.74"/>
    <n v="3"/>
    <x v="1"/>
    <n v="999.09"/>
    <n v="1271.99"/>
    <x v="1"/>
    <n v="0.15"/>
    <x v="2"/>
    <x v="0"/>
    <x v="1"/>
  </r>
  <r>
    <n v="1009"/>
    <x v="39"/>
    <x v="1"/>
    <x v="1"/>
    <n v="2584.91"/>
    <n v="40"/>
    <x v="0"/>
    <n v="2799.71"/>
    <n v="3231.08"/>
    <x v="0"/>
    <n v="0.28999999999999998"/>
    <x v="2"/>
    <x v="1"/>
    <x v="13"/>
  </r>
  <r>
    <n v="1062"/>
    <x v="144"/>
    <x v="2"/>
    <x v="0"/>
    <n v="5684.33"/>
    <n v="10"/>
    <x v="3"/>
    <n v="2940.4"/>
    <n v="3054.79"/>
    <x v="0"/>
    <n v="0.08"/>
    <x v="2"/>
    <x v="0"/>
    <x v="19"/>
  </r>
  <r>
    <n v="1037"/>
    <x v="112"/>
    <x v="2"/>
    <x v="3"/>
    <n v="3649.93"/>
    <n v="25"/>
    <x v="1"/>
    <n v="1074.6199999999999"/>
    <n v="1382.4299999999998"/>
    <x v="0"/>
    <n v="0.24"/>
    <x v="2"/>
    <x v="1"/>
    <x v="4"/>
  </r>
  <r>
    <n v="1097"/>
    <x v="131"/>
    <x v="3"/>
    <x v="1"/>
    <n v="6600.65"/>
    <n v="49"/>
    <x v="3"/>
    <n v="4264.46"/>
    <n v="4315.5200000000004"/>
    <x v="1"/>
    <n v="7.0000000000000007E-2"/>
    <x v="0"/>
    <x v="1"/>
    <x v="8"/>
  </r>
  <r>
    <n v="1051"/>
    <x v="145"/>
    <x v="3"/>
    <x v="0"/>
    <n v="2479.9499999999998"/>
    <n v="8"/>
    <x v="2"/>
    <n v="467.11"/>
    <n v="792.21"/>
    <x v="1"/>
    <n v="0.2"/>
    <x v="2"/>
    <x v="0"/>
    <x v="7"/>
  </r>
  <r>
    <n v="1044"/>
    <x v="146"/>
    <x v="2"/>
    <x v="0"/>
    <n v="1996.77"/>
    <n v="11"/>
    <x v="2"/>
    <n v="1812.66"/>
    <n v="2196.3000000000002"/>
    <x v="1"/>
    <n v="0.08"/>
    <x v="0"/>
    <x v="0"/>
    <x v="19"/>
  </r>
  <r>
    <n v="1024"/>
    <x v="147"/>
    <x v="3"/>
    <x v="0"/>
    <n v="9190.57"/>
    <n v="5"/>
    <x v="0"/>
    <n v="3417.9"/>
    <n v="3714.52"/>
    <x v="0"/>
    <n v="0.27"/>
    <x v="2"/>
    <x v="1"/>
    <x v="7"/>
  </r>
  <r>
    <n v="1079"/>
    <x v="148"/>
    <x v="1"/>
    <x v="0"/>
    <n v="1107.8599999999999"/>
    <n v="45"/>
    <x v="2"/>
    <n v="1406.9"/>
    <n v="1547.3500000000001"/>
    <x v="1"/>
    <n v="0.17"/>
    <x v="0"/>
    <x v="1"/>
    <x v="11"/>
  </r>
  <r>
    <n v="1059"/>
    <x v="149"/>
    <x v="4"/>
    <x v="0"/>
    <n v="5108.9799999999996"/>
    <n v="37"/>
    <x v="3"/>
    <n v="4146.99"/>
    <n v="4172.3499999999995"/>
    <x v="0"/>
    <n v="0.06"/>
    <x v="0"/>
    <x v="1"/>
    <x v="15"/>
  </r>
  <r>
    <n v="1032"/>
    <x v="106"/>
    <x v="1"/>
    <x v="0"/>
    <n v="2286.44"/>
    <n v="45"/>
    <x v="2"/>
    <n v="3712.35"/>
    <n v="3780.88"/>
    <x v="1"/>
    <n v="7.0000000000000007E-2"/>
    <x v="0"/>
    <x v="1"/>
    <x v="11"/>
  </r>
  <r>
    <n v="1096"/>
    <x v="150"/>
    <x v="2"/>
    <x v="1"/>
    <n v="485.41"/>
    <n v="38"/>
    <x v="3"/>
    <n v="3955.66"/>
    <n v="4270.59"/>
    <x v="0"/>
    <n v="0.15"/>
    <x v="2"/>
    <x v="0"/>
    <x v="5"/>
  </r>
  <r>
    <n v="1088"/>
    <x v="1"/>
    <x v="2"/>
    <x v="3"/>
    <n v="456.59"/>
    <n v="29"/>
    <x v="0"/>
    <n v="639.58000000000004"/>
    <n v="1107.45"/>
    <x v="1"/>
    <n v="0.28999999999999998"/>
    <x v="0"/>
    <x v="1"/>
    <x v="4"/>
  </r>
  <r>
    <n v="1052"/>
    <x v="106"/>
    <x v="1"/>
    <x v="0"/>
    <n v="1834.7"/>
    <n v="5"/>
    <x v="0"/>
    <n v="745.71"/>
    <n v="856.91000000000008"/>
    <x v="0"/>
    <n v="0.23"/>
    <x v="1"/>
    <x v="1"/>
    <x v="11"/>
  </r>
  <r>
    <n v="1062"/>
    <x v="94"/>
    <x v="3"/>
    <x v="2"/>
    <n v="8681.0300000000007"/>
    <n v="9"/>
    <x v="3"/>
    <n v="1468.05"/>
    <n v="1838.21"/>
    <x v="1"/>
    <n v="0.15"/>
    <x v="1"/>
    <x v="1"/>
    <x v="6"/>
  </r>
  <r>
    <n v="1058"/>
    <x v="151"/>
    <x v="3"/>
    <x v="1"/>
    <n v="2896.54"/>
    <n v="48"/>
    <x v="2"/>
    <n v="2614.48"/>
    <n v="3049.04"/>
    <x v="1"/>
    <n v="0.1"/>
    <x v="2"/>
    <x v="1"/>
    <x v="8"/>
  </r>
  <r>
    <n v="1052"/>
    <x v="64"/>
    <x v="2"/>
    <x v="1"/>
    <n v="9509.5499999999993"/>
    <n v="2"/>
    <x v="0"/>
    <n v="3752.68"/>
    <n v="4017.91"/>
    <x v="0"/>
    <n v="0.16"/>
    <x v="1"/>
    <x v="0"/>
    <x v="5"/>
  </r>
  <r>
    <n v="1012"/>
    <x v="50"/>
    <x v="0"/>
    <x v="0"/>
    <n v="5858.06"/>
    <n v="1"/>
    <x v="1"/>
    <n v="4190.83"/>
    <n v="4528.7699999999995"/>
    <x v="0"/>
    <n v="0.22"/>
    <x v="1"/>
    <x v="0"/>
    <x v="0"/>
  </r>
  <r>
    <n v="1039"/>
    <x v="48"/>
    <x v="3"/>
    <x v="1"/>
    <n v="4422.4799999999996"/>
    <n v="40"/>
    <x v="0"/>
    <n v="3536.46"/>
    <n v="3945.82"/>
    <x v="1"/>
    <n v="0.24"/>
    <x v="1"/>
    <x v="0"/>
    <x v="8"/>
  </r>
  <r>
    <n v="1002"/>
    <x v="62"/>
    <x v="1"/>
    <x v="0"/>
    <n v="5842.88"/>
    <n v="30"/>
    <x v="2"/>
    <n v="4646.55"/>
    <n v="4784.28"/>
    <x v="0"/>
    <n v="0.1"/>
    <x v="2"/>
    <x v="1"/>
    <x v="11"/>
  </r>
  <r>
    <n v="1003"/>
    <x v="90"/>
    <x v="3"/>
    <x v="3"/>
    <n v="5215.3100000000004"/>
    <n v="11"/>
    <x v="1"/>
    <n v="3706.78"/>
    <n v="3862.26"/>
    <x v="1"/>
    <n v="0.22"/>
    <x v="2"/>
    <x v="1"/>
    <x v="14"/>
  </r>
  <r>
    <n v="1056"/>
    <x v="152"/>
    <x v="1"/>
    <x v="3"/>
    <n v="7611.88"/>
    <n v="28"/>
    <x v="2"/>
    <n v="1566.03"/>
    <n v="1576.34"/>
    <x v="0"/>
    <n v="0.2"/>
    <x v="1"/>
    <x v="0"/>
    <x v="16"/>
  </r>
  <r>
    <n v="1081"/>
    <x v="153"/>
    <x v="2"/>
    <x v="1"/>
    <n v="2896.71"/>
    <n v="44"/>
    <x v="3"/>
    <n v="1362.15"/>
    <n v="1844.0700000000002"/>
    <x v="1"/>
    <n v="0.28999999999999998"/>
    <x v="2"/>
    <x v="0"/>
    <x v="5"/>
  </r>
  <r>
    <n v="1059"/>
    <x v="154"/>
    <x v="3"/>
    <x v="1"/>
    <n v="3595.2"/>
    <n v="12"/>
    <x v="1"/>
    <n v="3496.15"/>
    <n v="3955.75"/>
    <x v="0"/>
    <n v="0.28000000000000003"/>
    <x v="0"/>
    <x v="1"/>
    <x v="8"/>
  </r>
  <r>
    <n v="1002"/>
    <x v="155"/>
    <x v="1"/>
    <x v="2"/>
    <n v="8951.5300000000007"/>
    <n v="39"/>
    <x v="2"/>
    <n v="1004.71"/>
    <n v="1389.35"/>
    <x v="1"/>
    <n v="0.24"/>
    <x v="1"/>
    <x v="0"/>
    <x v="2"/>
  </r>
  <r>
    <n v="1002"/>
    <x v="156"/>
    <x v="2"/>
    <x v="1"/>
    <n v="9469.92"/>
    <n v="26"/>
    <x v="1"/>
    <n v="508.94"/>
    <n v="557.69000000000005"/>
    <x v="1"/>
    <n v="0.22"/>
    <x v="2"/>
    <x v="1"/>
    <x v="5"/>
  </r>
  <r>
    <n v="1092"/>
    <x v="157"/>
    <x v="0"/>
    <x v="2"/>
    <n v="8936.33"/>
    <n v="13"/>
    <x v="2"/>
    <n v="2684.5"/>
    <n v="2913.78"/>
    <x v="1"/>
    <n v="0.08"/>
    <x v="2"/>
    <x v="1"/>
    <x v="3"/>
  </r>
  <r>
    <n v="1054"/>
    <x v="87"/>
    <x v="1"/>
    <x v="3"/>
    <n v="4252.54"/>
    <n v="8"/>
    <x v="1"/>
    <n v="4117.13"/>
    <n v="4177.0600000000004"/>
    <x v="0"/>
    <n v="0.25"/>
    <x v="1"/>
    <x v="1"/>
    <x v="16"/>
  </r>
  <r>
    <n v="1087"/>
    <x v="158"/>
    <x v="0"/>
    <x v="3"/>
    <n v="7825.62"/>
    <n v="28"/>
    <x v="2"/>
    <n v="551.83000000000004"/>
    <n v="569.63"/>
    <x v="1"/>
    <n v="0.13"/>
    <x v="2"/>
    <x v="1"/>
    <x v="12"/>
  </r>
  <r>
    <n v="1096"/>
    <x v="159"/>
    <x v="0"/>
    <x v="0"/>
    <n v="4815.72"/>
    <n v="30"/>
    <x v="3"/>
    <n v="3969.86"/>
    <n v="4281.79"/>
    <x v="0"/>
    <n v="0.08"/>
    <x v="1"/>
    <x v="1"/>
    <x v="0"/>
  </r>
  <r>
    <n v="1097"/>
    <x v="91"/>
    <x v="4"/>
    <x v="3"/>
    <n v="5025.6400000000003"/>
    <n v="9"/>
    <x v="1"/>
    <n v="4067.28"/>
    <n v="4548.09"/>
    <x v="0"/>
    <n v="0.12"/>
    <x v="2"/>
    <x v="1"/>
    <x v="18"/>
  </r>
  <r>
    <n v="1001"/>
    <x v="160"/>
    <x v="3"/>
    <x v="2"/>
    <n v="2126.33"/>
    <n v="39"/>
    <x v="1"/>
    <n v="2437.2600000000002"/>
    <n v="2889.67"/>
    <x v="0"/>
    <n v="0.25"/>
    <x v="0"/>
    <x v="0"/>
    <x v="6"/>
  </r>
  <r>
    <n v="1019"/>
    <x v="146"/>
    <x v="1"/>
    <x v="1"/>
    <n v="5952.19"/>
    <n v="31"/>
    <x v="1"/>
    <n v="333.69"/>
    <n v="685.1"/>
    <x v="1"/>
    <n v="0.04"/>
    <x v="1"/>
    <x v="0"/>
    <x v="13"/>
  </r>
  <r>
    <n v="1002"/>
    <x v="6"/>
    <x v="0"/>
    <x v="0"/>
    <n v="1942.75"/>
    <n v="21"/>
    <x v="1"/>
    <n v="914.22"/>
    <n v="971.57"/>
    <x v="0"/>
    <n v="0.14000000000000001"/>
    <x v="0"/>
    <x v="0"/>
    <x v="0"/>
  </r>
  <r>
    <n v="1053"/>
    <x v="145"/>
    <x v="4"/>
    <x v="2"/>
    <n v="3382.49"/>
    <n v="47"/>
    <x v="3"/>
    <n v="3551.76"/>
    <n v="3696.1000000000004"/>
    <x v="0"/>
    <n v="0.15"/>
    <x v="1"/>
    <x v="1"/>
    <x v="9"/>
  </r>
  <r>
    <n v="1044"/>
    <x v="161"/>
    <x v="2"/>
    <x v="1"/>
    <n v="8564.7999999999993"/>
    <n v="34"/>
    <x v="1"/>
    <n v="3573.3"/>
    <n v="3740.13"/>
    <x v="0"/>
    <n v="0.01"/>
    <x v="2"/>
    <x v="0"/>
    <x v="5"/>
  </r>
  <r>
    <n v="1090"/>
    <x v="162"/>
    <x v="1"/>
    <x v="0"/>
    <n v="2150.0500000000002"/>
    <n v="31"/>
    <x v="0"/>
    <n v="4496.8599999999997"/>
    <n v="4880.7999999999993"/>
    <x v="1"/>
    <n v="0.06"/>
    <x v="0"/>
    <x v="1"/>
    <x v="11"/>
  </r>
  <r>
    <n v="1032"/>
    <x v="163"/>
    <x v="0"/>
    <x v="3"/>
    <n v="804.47"/>
    <n v="25"/>
    <x v="3"/>
    <n v="2934.3"/>
    <n v="3337.4"/>
    <x v="0"/>
    <n v="0.25"/>
    <x v="2"/>
    <x v="1"/>
    <x v="12"/>
  </r>
  <r>
    <n v="1070"/>
    <x v="58"/>
    <x v="3"/>
    <x v="2"/>
    <n v="783.18"/>
    <n v="12"/>
    <x v="0"/>
    <n v="664.33"/>
    <n v="863.03"/>
    <x v="0"/>
    <n v="0.25"/>
    <x v="1"/>
    <x v="1"/>
    <x v="6"/>
  </r>
  <r>
    <n v="1032"/>
    <x v="78"/>
    <x v="4"/>
    <x v="1"/>
    <n v="9413.77"/>
    <n v="1"/>
    <x v="1"/>
    <n v="651"/>
    <n v="865.76"/>
    <x v="0"/>
    <n v="0.09"/>
    <x v="1"/>
    <x v="1"/>
    <x v="17"/>
  </r>
  <r>
    <n v="1068"/>
    <x v="164"/>
    <x v="0"/>
    <x v="0"/>
    <n v="5118.51"/>
    <n v="22"/>
    <x v="2"/>
    <n v="3619.61"/>
    <n v="3651.42"/>
    <x v="0"/>
    <n v="0.26"/>
    <x v="1"/>
    <x v="0"/>
    <x v="0"/>
  </r>
  <r>
    <n v="1055"/>
    <x v="165"/>
    <x v="3"/>
    <x v="0"/>
    <n v="4153.18"/>
    <n v="40"/>
    <x v="0"/>
    <n v="959.73"/>
    <n v="1111.4100000000001"/>
    <x v="1"/>
    <n v="0.23"/>
    <x v="1"/>
    <x v="0"/>
    <x v="7"/>
  </r>
  <r>
    <n v="1075"/>
    <x v="117"/>
    <x v="0"/>
    <x v="3"/>
    <n v="8127.7"/>
    <n v="37"/>
    <x v="1"/>
    <n v="1675.51"/>
    <n v="1906.6399999999999"/>
    <x v="1"/>
    <n v="0.13"/>
    <x v="1"/>
    <x v="0"/>
    <x v="12"/>
  </r>
  <r>
    <n v="1056"/>
    <x v="28"/>
    <x v="1"/>
    <x v="1"/>
    <n v="8374.68"/>
    <n v="47"/>
    <x v="0"/>
    <n v="2461.6999999999998"/>
    <n v="2529.02"/>
    <x v="0"/>
    <n v="0.22"/>
    <x v="0"/>
    <x v="1"/>
    <x v="13"/>
  </r>
  <r>
    <n v="1017"/>
    <x v="166"/>
    <x v="1"/>
    <x v="3"/>
    <n v="3388.69"/>
    <n v="1"/>
    <x v="1"/>
    <n v="172.59"/>
    <n v="404.69"/>
    <x v="0"/>
    <n v="0.28999999999999998"/>
    <x v="1"/>
    <x v="0"/>
    <x v="16"/>
  </r>
  <r>
    <n v="1038"/>
    <x v="163"/>
    <x v="1"/>
    <x v="3"/>
    <n v="6966.82"/>
    <n v="1"/>
    <x v="1"/>
    <n v="1281.6500000000001"/>
    <n v="1709.71"/>
    <x v="0"/>
    <n v="0.14000000000000001"/>
    <x v="2"/>
    <x v="0"/>
    <x v="16"/>
  </r>
  <r>
    <n v="1024"/>
    <x v="167"/>
    <x v="4"/>
    <x v="1"/>
    <n v="7734.12"/>
    <n v="42"/>
    <x v="1"/>
    <n v="2069.0500000000002"/>
    <n v="2363.9"/>
    <x v="0"/>
    <n v="7.0000000000000007E-2"/>
    <x v="0"/>
    <x v="0"/>
    <x v="17"/>
  </r>
  <r>
    <n v="1069"/>
    <x v="168"/>
    <x v="1"/>
    <x v="1"/>
    <n v="6581.04"/>
    <n v="42"/>
    <x v="2"/>
    <n v="1434.2"/>
    <n v="1482.88"/>
    <x v="1"/>
    <n v="0.28000000000000003"/>
    <x v="2"/>
    <x v="1"/>
    <x v="13"/>
  </r>
  <r>
    <n v="1098"/>
    <x v="96"/>
    <x v="3"/>
    <x v="1"/>
    <n v="1600.79"/>
    <n v="21"/>
    <x v="0"/>
    <n v="725.03"/>
    <n v="828.94999999999993"/>
    <x v="1"/>
    <n v="0.18"/>
    <x v="1"/>
    <x v="0"/>
    <x v="8"/>
  </r>
  <r>
    <n v="1070"/>
    <x v="113"/>
    <x v="0"/>
    <x v="2"/>
    <n v="8771.24"/>
    <n v="15"/>
    <x v="3"/>
    <n v="3653.66"/>
    <n v="3896.19"/>
    <x v="1"/>
    <n v="0.03"/>
    <x v="2"/>
    <x v="1"/>
    <x v="3"/>
  </r>
  <r>
    <n v="1086"/>
    <x v="169"/>
    <x v="2"/>
    <x v="1"/>
    <n v="5437.04"/>
    <n v="17"/>
    <x v="3"/>
    <n v="4075.08"/>
    <n v="4262.21"/>
    <x v="1"/>
    <n v="0.17"/>
    <x v="0"/>
    <x v="0"/>
    <x v="5"/>
  </r>
  <r>
    <n v="1011"/>
    <x v="170"/>
    <x v="3"/>
    <x v="0"/>
    <n v="2896.48"/>
    <n v="22"/>
    <x v="3"/>
    <n v="1324.52"/>
    <n v="1510.3"/>
    <x v="0"/>
    <n v="0.15"/>
    <x v="0"/>
    <x v="1"/>
    <x v="7"/>
  </r>
  <r>
    <n v="1016"/>
    <x v="59"/>
    <x v="3"/>
    <x v="3"/>
    <n v="4309.76"/>
    <n v="38"/>
    <x v="3"/>
    <n v="3883.38"/>
    <n v="4152.72"/>
    <x v="0"/>
    <n v="0.26"/>
    <x v="0"/>
    <x v="0"/>
    <x v="14"/>
  </r>
  <r>
    <n v="1097"/>
    <x v="37"/>
    <x v="1"/>
    <x v="2"/>
    <n v="471.95"/>
    <n v="35"/>
    <x v="1"/>
    <n v="1958.49"/>
    <n v="2254.84"/>
    <x v="1"/>
    <n v="0.16"/>
    <x v="2"/>
    <x v="0"/>
    <x v="2"/>
  </r>
  <r>
    <n v="1073"/>
    <x v="129"/>
    <x v="4"/>
    <x v="1"/>
    <n v="1365.88"/>
    <n v="45"/>
    <x v="0"/>
    <n v="2558.09"/>
    <n v="2958.55"/>
    <x v="1"/>
    <n v="0.08"/>
    <x v="0"/>
    <x v="0"/>
    <x v="17"/>
  </r>
  <r>
    <n v="1059"/>
    <x v="150"/>
    <x v="0"/>
    <x v="2"/>
    <n v="7678.91"/>
    <n v="16"/>
    <x v="0"/>
    <n v="4287.21"/>
    <n v="4464.28"/>
    <x v="0"/>
    <n v="0.2"/>
    <x v="2"/>
    <x v="1"/>
    <x v="3"/>
  </r>
  <r>
    <n v="1070"/>
    <x v="171"/>
    <x v="4"/>
    <x v="1"/>
    <n v="100.12"/>
    <n v="8"/>
    <x v="2"/>
    <n v="3762.27"/>
    <n v="4166.95"/>
    <x v="0"/>
    <n v="0.16"/>
    <x v="1"/>
    <x v="0"/>
    <x v="17"/>
  </r>
  <r>
    <n v="1080"/>
    <x v="172"/>
    <x v="0"/>
    <x v="2"/>
    <n v="4224"/>
    <n v="47"/>
    <x v="0"/>
    <n v="4035.33"/>
    <n v="4211.25"/>
    <x v="0"/>
    <n v="7.0000000000000007E-2"/>
    <x v="1"/>
    <x v="0"/>
    <x v="3"/>
  </r>
  <r>
    <n v="1093"/>
    <x v="173"/>
    <x v="0"/>
    <x v="3"/>
    <n v="5272.85"/>
    <n v="17"/>
    <x v="0"/>
    <n v="727.38"/>
    <n v="764.54"/>
    <x v="0"/>
    <n v="0.17"/>
    <x v="2"/>
    <x v="1"/>
    <x v="12"/>
  </r>
  <r>
    <n v="1003"/>
    <x v="174"/>
    <x v="4"/>
    <x v="3"/>
    <n v="640.88"/>
    <n v="17"/>
    <x v="0"/>
    <n v="395.11"/>
    <n v="676.66000000000008"/>
    <x v="0"/>
    <n v="0.25"/>
    <x v="0"/>
    <x v="1"/>
    <x v="18"/>
  </r>
  <r>
    <n v="1020"/>
    <x v="175"/>
    <x v="3"/>
    <x v="0"/>
    <n v="9733.4699999999993"/>
    <n v="26"/>
    <x v="2"/>
    <n v="4472.3500000000004"/>
    <n v="4770.42"/>
    <x v="1"/>
    <n v="0.01"/>
    <x v="2"/>
    <x v="1"/>
    <x v="7"/>
  </r>
  <r>
    <n v="1059"/>
    <x v="109"/>
    <x v="0"/>
    <x v="0"/>
    <n v="2338.64"/>
    <n v="13"/>
    <x v="3"/>
    <n v="1969.78"/>
    <n v="2437.6999999999998"/>
    <x v="1"/>
    <n v="0.19"/>
    <x v="2"/>
    <x v="1"/>
    <x v="0"/>
  </r>
  <r>
    <n v="1036"/>
    <x v="162"/>
    <x v="4"/>
    <x v="1"/>
    <n v="3111.57"/>
    <n v="17"/>
    <x v="0"/>
    <n v="1475"/>
    <n v="1840.77"/>
    <x v="0"/>
    <n v="0.1"/>
    <x v="2"/>
    <x v="0"/>
    <x v="17"/>
  </r>
  <r>
    <n v="1019"/>
    <x v="26"/>
    <x v="0"/>
    <x v="3"/>
    <n v="3109.03"/>
    <n v="38"/>
    <x v="2"/>
    <n v="3637.25"/>
    <n v="4096.96"/>
    <x v="0"/>
    <n v="0.09"/>
    <x v="1"/>
    <x v="0"/>
    <x v="12"/>
  </r>
  <r>
    <n v="1090"/>
    <x v="170"/>
    <x v="2"/>
    <x v="2"/>
    <n v="2381.12"/>
    <n v="17"/>
    <x v="2"/>
    <n v="4190.26"/>
    <n v="4645.3500000000004"/>
    <x v="1"/>
    <n v="0.12"/>
    <x v="2"/>
    <x v="1"/>
    <x v="10"/>
  </r>
  <r>
    <n v="1067"/>
    <x v="8"/>
    <x v="3"/>
    <x v="2"/>
    <n v="114.59"/>
    <n v="48"/>
    <x v="1"/>
    <n v="4319.32"/>
    <n v="4625.5599999999995"/>
    <x v="0"/>
    <n v="0.1"/>
    <x v="1"/>
    <x v="0"/>
    <x v="6"/>
  </r>
  <r>
    <n v="1019"/>
    <x v="18"/>
    <x v="1"/>
    <x v="2"/>
    <n v="7320.51"/>
    <n v="14"/>
    <x v="2"/>
    <n v="1614.19"/>
    <n v="1882.79"/>
    <x v="1"/>
    <n v="0.25"/>
    <x v="2"/>
    <x v="1"/>
    <x v="2"/>
  </r>
  <r>
    <n v="1020"/>
    <x v="176"/>
    <x v="0"/>
    <x v="0"/>
    <n v="9671.77"/>
    <n v="45"/>
    <x v="3"/>
    <n v="4268.45"/>
    <n v="4551.5999999999995"/>
    <x v="1"/>
    <n v="0.08"/>
    <x v="1"/>
    <x v="0"/>
    <x v="0"/>
  </r>
  <r>
    <n v="1096"/>
    <x v="67"/>
    <x v="2"/>
    <x v="2"/>
    <n v="2320.5100000000002"/>
    <n v="6"/>
    <x v="0"/>
    <n v="252.62"/>
    <n v="742"/>
    <x v="1"/>
    <n v="0.22"/>
    <x v="2"/>
    <x v="1"/>
    <x v="10"/>
  </r>
  <r>
    <n v="1071"/>
    <x v="177"/>
    <x v="1"/>
    <x v="0"/>
    <n v="6664.17"/>
    <n v="35"/>
    <x v="2"/>
    <n v="295.82"/>
    <n v="684.67000000000007"/>
    <x v="1"/>
    <n v="0.03"/>
    <x v="2"/>
    <x v="0"/>
    <x v="11"/>
  </r>
  <r>
    <n v="1052"/>
    <x v="178"/>
    <x v="1"/>
    <x v="0"/>
    <n v="7444.77"/>
    <n v="46"/>
    <x v="3"/>
    <n v="3136.42"/>
    <n v="3198.4900000000002"/>
    <x v="0"/>
    <n v="0.28999999999999998"/>
    <x v="0"/>
    <x v="1"/>
    <x v="11"/>
  </r>
  <r>
    <n v="1033"/>
    <x v="113"/>
    <x v="0"/>
    <x v="1"/>
    <n v="8499.41"/>
    <n v="14"/>
    <x v="2"/>
    <n v="362.38"/>
    <n v="753.81"/>
    <x v="0"/>
    <n v="0.19"/>
    <x v="0"/>
    <x v="1"/>
    <x v="1"/>
  </r>
  <r>
    <n v="1040"/>
    <x v="16"/>
    <x v="4"/>
    <x v="2"/>
    <n v="4284.03"/>
    <n v="47"/>
    <x v="2"/>
    <n v="1656.82"/>
    <n v="1750.3799999999999"/>
    <x v="1"/>
    <n v="0.21"/>
    <x v="2"/>
    <x v="0"/>
    <x v="9"/>
  </r>
  <r>
    <n v="1039"/>
    <x v="168"/>
    <x v="0"/>
    <x v="2"/>
    <n v="3099.02"/>
    <n v="8"/>
    <x v="2"/>
    <n v="3380.14"/>
    <n v="3609.3399999999997"/>
    <x v="0"/>
    <n v="0.09"/>
    <x v="2"/>
    <x v="0"/>
    <x v="3"/>
  </r>
  <r>
    <n v="1082"/>
    <x v="179"/>
    <x v="2"/>
    <x v="3"/>
    <n v="3320.42"/>
    <n v="15"/>
    <x v="2"/>
    <n v="1719.47"/>
    <n v="1832.6"/>
    <x v="0"/>
    <n v="0.12"/>
    <x v="2"/>
    <x v="0"/>
    <x v="4"/>
  </r>
  <r>
    <n v="1001"/>
    <x v="180"/>
    <x v="1"/>
    <x v="1"/>
    <n v="7154.95"/>
    <n v="27"/>
    <x v="2"/>
    <n v="939.02"/>
    <n v="1286.92"/>
    <x v="0"/>
    <n v="7.0000000000000007E-2"/>
    <x v="2"/>
    <x v="1"/>
    <x v="13"/>
  </r>
  <r>
    <n v="1011"/>
    <x v="181"/>
    <x v="0"/>
    <x v="3"/>
    <n v="8186.12"/>
    <n v="13"/>
    <x v="3"/>
    <n v="1442.69"/>
    <n v="1882.5700000000002"/>
    <x v="0"/>
    <n v="0.28000000000000003"/>
    <x v="0"/>
    <x v="0"/>
    <x v="12"/>
  </r>
  <r>
    <n v="1092"/>
    <x v="76"/>
    <x v="4"/>
    <x v="1"/>
    <n v="1897.98"/>
    <n v="49"/>
    <x v="0"/>
    <n v="2315"/>
    <n v="2467.2800000000002"/>
    <x v="1"/>
    <n v="0.15"/>
    <x v="1"/>
    <x v="1"/>
    <x v="17"/>
  </r>
  <r>
    <n v="1057"/>
    <x v="92"/>
    <x v="0"/>
    <x v="2"/>
    <n v="3772.32"/>
    <n v="31"/>
    <x v="0"/>
    <n v="2403.16"/>
    <n v="2453.35"/>
    <x v="0"/>
    <n v="0.19"/>
    <x v="2"/>
    <x v="0"/>
    <x v="3"/>
  </r>
  <r>
    <n v="1089"/>
    <x v="177"/>
    <x v="3"/>
    <x v="0"/>
    <n v="9029.2099999999991"/>
    <n v="35"/>
    <x v="0"/>
    <n v="3925.85"/>
    <n v="4082.1099999999997"/>
    <x v="1"/>
    <n v="0.22"/>
    <x v="0"/>
    <x v="0"/>
    <x v="7"/>
  </r>
  <r>
    <n v="1050"/>
    <x v="141"/>
    <x v="4"/>
    <x v="0"/>
    <n v="8086.27"/>
    <n v="6"/>
    <x v="0"/>
    <n v="3763.26"/>
    <n v="4102.72"/>
    <x v="1"/>
    <n v="0.11"/>
    <x v="2"/>
    <x v="1"/>
    <x v="15"/>
  </r>
  <r>
    <n v="1023"/>
    <x v="40"/>
    <x v="2"/>
    <x v="0"/>
    <n v="9850.1"/>
    <n v="5"/>
    <x v="3"/>
    <n v="2311.25"/>
    <n v="2482.34"/>
    <x v="0"/>
    <n v="0.22"/>
    <x v="2"/>
    <x v="1"/>
    <x v="19"/>
  </r>
  <r>
    <n v="1031"/>
    <x v="182"/>
    <x v="1"/>
    <x v="0"/>
    <n v="7567.06"/>
    <n v="22"/>
    <x v="1"/>
    <n v="4236.05"/>
    <n v="4382.3200000000006"/>
    <x v="1"/>
    <n v="0.2"/>
    <x v="1"/>
    <x v="0"/>
    <x v="11"/>
  </r>
  <r>
    <n v="1094"/>
    <x v="113"/>
    <x v="0"/>
    <x v="0"/>
    <n v="3992.63"/>
    <n v="49"/>
    <x v="1"/>
    <n v="615.47"/>
    <n v="715.84"/>
    <x v="0"/>
    <n v="0.21"/>
    <x v="2"/>
    <x v="1"/>
    <x v="0"/>
  </r>
  <r>
    <n v="1042"/>
    <x v="183"/>
    <x v="4"/>
    <x v="3"/>
    <n v="5947.31"/>
    <n v="23"/>
    <x v="3"/>
    <n v="1314"/>
    <n v="1567.78"/>
    <x v="0"/>
    <n v="0.15"/>
    <x v="2"/>
    <x v="1"/>
    <x v="18"/>
  </r>
  <r>
    <n v="1099"/>
    <x v="143"/>
    <x v="3"/>
    <x v="1"/>
    <n v="6644.04"/>
    <n v="25"/>
    <x v="3"/>
    <n v="4148.4799999999996"/>
    <n v="4293.6899999999996"/>
    <x v="1"/>
    <n v="0.11"/>
    <x v="1"/>
    <x v="0"/>
    <x v="8"/>
  </r>
  <r>
    <n v="1007"/>
    <x v="180"/>
    <x v="4"/>
    <x v="2"/>
    <n v="876.71"/>
    <n v="34"/>
    <x v="2"/>
    <n v="1921.07"/>
    <n v="2289.27"/>
    <x v="0"/>
    <n v="7.0000000000000007E-2"/>
    <x v="1"/>
    <x v="1"/>
    <x v="9"/>
  </r>
  <r>
    <n v="1016"/>
    <x v="184"/>
    <x v="3"/>
    <x v="3"/>
    <n v="5490.52"/>
    <n v="26"/>
    <x v="2"/>
    <n v="4906.8500000000004"/>
    <n v="4954.3900000000003"/>
    <x v="1"/>
    <n v="0.25"/>
    <x v="1"/>
    <x v="0"/>
    <x v="14"/>
  </r>
  <r>
    <n v="1090"/>
    <x v="160"/>
    <x v="2"/>
    <x v="1"/>
    <n v="7122.28"/>
    <n v="47"/>
    <x v="2"/>
    <n v="2357.9499999999998"/>
    <n v="2693.33"/>
    <x v="1"/>
    <n v="0.18"/>
    <x v="1"/>
    <x v="0"/>
    <x v="5"/>
  </r>
  <r>
    <n v="1060"/>
    <x v="185"/>
    <x v="1"/>
    <x v="0"/>
    <n v="1756.48"/>
    <n v="5"/>
    <x v="0"/>
    <n v="3970.08"/>
    <n v="4096.4799999999996"/>
    <x v="0"/>
    <n v="0.13"/>
    <x v="0"/>
    <x v="1"/>
    <x v="11"/>
  </r>
  <r>
    <n v="1002"/>
    <x v="149"/>
    <x v="2"/>
    <x v="1"/>
    <n v="7828.25"/>
    <n v="26"/>
    <x v="2"/>
    <n v="2041.42"/>
    <n v="2291.17"/>
    <x v="0"/>
    <n v="0.28000000000000003"/>
    <x v="0"/>
    <x v="0"/>
    <x v="5"/>
  </r>
  <r>
    <n v="1001"/>
    <x v="186"/>
    <x v="0"/>
    <x v="1"/>
    <n v="5879.35"/>
    <n v="20"/>
    <x v="1"/>
    <n v="2153.52"/>
    <n v="2303.6999999999998"/>
    <x v="0"/>
    <n v="0.01"/>
    <x v="0"/>
    <x v="1"/>
    <x v="1"/>
  </r>
  <r>
    <n v="1048"/>
    <x v="187"/>
    <x v="4"/>
    <x v="0"/>
    <n v="9527"/>
    <n v="6"/>
    <x v="0"/>
    <n v="1945.27"/>
    <n v="2309.4299999999998"/>
    <x v="1"/>
    <n v="0.26"/>
    <x v="2"/>
    <x v="0"/>
    <x v="15"/>
  </r>
  <r>
    <n v="1012"/>
    <x v="24"/>
    <x v="3"/>
    <x v="0"/>
    <n v="519.98"/>
    <n v="6"/>
    <x v="2"/>
    <n v="3609.42"/>
    <n v="4082.62"/>
    <x v="0"/>
    <n v="0.3"/>
    <x v="1"/>
    <x v="1"/>
    <x v="7"/>
  </r>
  <r>
    <n v="1069"/>
    <x v="188"/>
    <x v="3"/>
    <x v="0"/>
    <n v="2726.73"/>
    <n v="18"/>
    <x v="0"/>
    <n v="2760.21"/>
    <n v="3219.58"/>
    <x v="1"/>
    <n v="0.27"/>
    <x v="1"/>
    <x v="1"/>
    <x v="7"/>
  </r>
  <r>
    <n v="1037"/>
    <x v="189"/>
    <x v="4"/>
    <x v="2"/>
    <n v="6055.38"/>
    <n v="4"/>
    <x v="1"/>
    <n v="4721.7"/>
    <n v="5017.58"/>
    <x v="1"/>
    <n v="0.24"/>
    <x v="0"/>
    <x v="1"/>
    <x v="9"/>
  </r>
  <r>
    <n v="1032"/>
    <x v="178"/>
    <x v="4"/>
    <x v="0"/>
    <n v="3035.94"/>
    <n v="17"/>
    <x v="2"/>
    <n v="1291.9100000000001"/>
    <n v="1528.5900000000001"/>
    <x v="0"/>
    <n v="0.11"/>
    <x v="2"/>
    <x v="1"/>
    <x v="15"/>
  </r>
  <r>
    <n v="1009"/>
    <x v="82"/>
    <x v="0"/>
    <x v="2"/>
    <n v="7172.8"/>
    <n v="14"/>
    <x v="1"/>
    <n v="547.79"/>
    <n v="958.76"/>
    <x v="0"/>
    <n v="7.0000000000000007E-2"/>
    <x v="2"/>
    <x v="1"/>
    <x v="3"/>
  </r>
  <r>
    <n v="1099"/>
    <x v="95"/>
    <x v="2"/>
    <x v="0"/>
    <n v="7614.15"/>
    <n v="14"/>
    <x v="1"/>
    <n v="1996.64"/>
    <n v="2341.4700000000003"/>
    <x v="0"/>
    <n v="0.22"/>
    <x v="2"/>
    <x v="0"/>
    <x v="19"/>
  </r>
  <r>
    <n v="1019"/>
    <x v="190"/>
    <x v="3"/>
    <x v="2"/>
    <n v="1114.9100000000001"/>
    <n v="13"/>
    <x v="1"/>
    <n v="3102.73"/>
    <n v="3202.68"/>
    <x v="1"/>
    <n v="0.09"/>
    <x v="0"/>
    <x v="0"/>
    <x v="6"/>
  </r>
  <r>
    <n v="1048"/>
    <x v="191"/>
    <x v="0"/>
    <x v="1"/>
    <n v="5187.16"/>
    <n v="7"/>
    <x v="2"/>
    <n v="4310.95"/>
    <n v="4723.2"/>
    <x v="0"/>
    <n v="0.05"/>
    <x v="2"/>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1FE0C4-495E-4C7C-967D-8210940F72F3}"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H12" firstHeaderRow="1" firstDataRow="1" firstDataCol="1"/>
  <pivotFields count="16">
    <pivotField showAll="0"/>
    <pivotField numFmtId="14" showAll="0">
      <items count="193">
        <item x="58"/>
        <item x="21"/>
        <item x="99"/>
        <item x="7"/>
        <item x="69"/>
        <item x="142"/>
        <item x="73"/>
        <item x="107"/>
        <item x="120"/>
        <item x="172"/>
        <item x="191"/>
        <item x="54"/>
        <item x="112"/>
        <item x="170"/>
        <item x="45"/>
        <item x="157"/>
        <item x="31"/>
        <item x="188"/>
        <item x="0"/>
        <item x="86"/>
        <item x="33"/>
        <item x="61"/>
        <item x="118"/>
        <item x="32"/>
        <item x="5"/>
        <item x="57"/>
        <item x="180"/>
        <item x="156"/>
        <item x="164"/>
        <item x="88"/>
        <item x="42"/>
        <item x="113"/>
        <item x="119"/>
        <item x="83"/>
        <item x="19"/>
        <item x="37"/>
        <item x="85"/>
        <item x="101"/>
        <item x="4"/>
        <item x="76"/>
        <item x="126"/>
        <item x="103"/>
        <item x="59"/>
        <item x="154"/>
        <item x="41"/>
        <item x="25"/>
        <item x="123"/>
        <item x="6"/>
        <item x="106"/>
        <item x="153"/>
        <item x="161"/>
        <item x="1"/>
        <item x="20"/>
        <item x="55"/>
        <item x="137"/>
        <item x="167"/>
        <item x="40"/>
        <item x="127"/>
        <item x="110"/>
        <item x="152"/>
        <item x="173"/>
        <item x="75"/>
        <item x="102"/>
        <item x="48"/>
        <item x="39"/>
        <item x="135"/>
        <item x="28"/>
        <item x="71"/>
        <item x="63"/>
        <item x="56"/>
        <item x="149"/>
        <item x="60"/>
        <item x="114"/>
        <item x="190"/>
        <item x="116"/>
        <item x="141"/>
        <item x="165"/>
        <item x="16"/>
        <item x="26"/>
        <item x="115"/>
        <item x="168"/>
        <item x="179"/>
        <item x="121"/>
        <item x="189"/>
        <item x="130"/>
        <item x="67"/>
        <item x="98"/>
        <item x="74"/>
        <item x="151"/>
        <item x="72"/>
        <item x="46"/>
        <item x="177"/>
        <item x="68"/>
        <item x="109"/>
        <item x="8"/>
        <item x="162"/>
        <item x="134"/>
        <item x="183"/>
        <item x="43"/>
        <item x="125"/>
        <item x="18"/>
        <item x="144"/>
        <item x="166"/>
        <item x="44"/>
        <item x="150"/>
        <item x="187"/>
        <item x="52"/>
        <item x="97"/>
        <item x="159"/>
        <item x="186"/>
        <item x="133"/>
        <item x="148"/>
        <item x="36"/>
        <item x="34"/>
        <item x="185"/>
        <item x="53"/>
        <item x="11"/>
        <item x="132"/>
        <item x="14"/>
        <item x="122"/>
        <item x="3"/>
        <item x="104"/>
        <item x="30"/>
        <item x="169"/>
        <item x="29"/>
        <item x="175"/>
        <item x="124"/>
        <item x="160"/>
        <item x="66"/>
        <item x="70"/>
        <item x="2"/>
        <item x="81"/>
        <item x="91"/>
        <item x="93"/>
        <item x="80"/>
        <item x="51"/>
        <item x="17"/>
        <item x="9"/>
        <item x="140"/>
        <item x="178"/>
        <item x="95"/>
        <item x="155"/>
        <item x="108"/>
        <item x="15"/>
        <item x="96"/>
        <item x="138"/>
        <item x="62"/>
        <item x="129"/>
        <item x="105"/>
        <item x="87"/>
        <item x="158"/>
        <item x="139"/>
        <item x="47"/>
        <item x="146"/>
        <item x="131"/>
        <item x="82"/>
        <item x="117"/>
        <item x="27"/>
        <item x="163"/>
        <item x="12"/>
        <item x="94"/>
        <item x="24"/>
        <item x="78"/>
        <item x="10"/>
        <item x="77"/>
        <item x="35"/>
        <item x="50"/>
        <item x="49"/>
        <item x="184"/>
        <item x="90"/>
        <item x="79"/>
        <item x="128"/>
        <item x="23"/>
        <item x="136"/>
        <item x="65"/>
        <item x="84"/>
        <item x="38"/>
        <item x="181"/>
        <item x="100"/>
        <item x="182"/>
        <item x="176"/>
        <item x="145"/>
        <item x="171"/>
        <item x="89"/>
        <item x="22"/>
        <item x="111"/>
        <item x="64"/>
        <item x="143"/>
        <item x="92"/>
        <item x="147"/>
        <item x="174"/>
        <item x="13"/>
        <item t="default"/>
      </items>
    </pivotField>
    <pivotField showAll="0">
      <items count="6">
        <item x="4"/>
        <item x="0"/>
        <item x="2"/>
        <item x="1"/>
        <item x="3"/>
        <item t="default"/>
      </items>
    </pivotField>
    <pivotField showAll="0">
      <items count="5">
        <item x="3"/>
        <item x="0"/>
        <item x="2"/>
        <item x="1"/>
        <item t="default"/>
      </items>
    </pivotField>
    <pivotField showAll="0"/>
    <pivotField dataField="1" showAll="0"/>
    <pivotField showAll="0">
      <items count="5">
        <item x="2"/>
        <item x="3"/>
        <item x="1"/>
        <item x="0"/>
        <item t="default"/>
      </items>
    </pivotField>
    <pivotField showAll="0"/>
    <pivotField showAll="0"/>
    <pivotField showAll="0">
      <items count="3">
        <item x="1"/>
        <item x="0"/>
        <item t="default"/>
      </items>
    </pivotField>
    <pivotField showAll="0"/>
    <pivotField showAll="0"/>
    <pivotField axis="axisRow" showAll="0">
      <items count="3">
        <item x="0"/>
        <item x="1"/>
        <item t="default"/>
      </items>
    </pivotField>
    <pivotField showAll="0">
      <items count="21">
        <item x="18"/>
        <item x="12"/>
        <item x="4"/>
        <item x="16"/>
        <item x="14"/>
        <item x="15"/>
        <item x="0"/>
        <item x="19"/>
        <item x="11"/>
        <item x="7"/>
        <item x="9"/>
        <item x="3"/>
        <item x="10"/>
        <item x="2"/>
        <item x="6"/>
        <item x="17"/>
        <item x="1"/>
        <item x="5"/>
        <item x="13"/>
        <item x="8"/>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2"/>
  </rowFields>
  <rowItems count="3">
    <i>
      <x/>
    </i>
    <i>
      <x v="1"/>
    </i>
    <i t="grand">
      <x/>
    </i>
  </rowItems>
  <colItems count="1">
    <i/>
  </colItems>
  <dataFields count="1">
    <dataField name="Sum of Quantity_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81EC8A-B9A3-4422-9685-81063DDE59BE}"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9:E22" firstHeaderRow="1" firstDataRow="1" firstDataCol="1"/>
  <pivotFields count="16">
    <pivotField showAll="0"/>
    <pivotField numFmtId="14" showAll="0">
      <items count="193">
        <item x="58"/>
        <item x="21"/>
        <item x="99"/>
        <item x="7"/>
        <item x="69"/>
        <item x="142"/>
        <item x="73"/>
        <item x="107"/>
        <item x="120"/>
        <item x="172"/>
        <item x="191"/>
        <item x="54"/>
        <item x="112"/>
        <item x="170"/>
        <item x="45"/>
        <item x="157"/>
        <item x="31"/>
        <item x="188"/>
        <item x="0"/>
        <item x="86"/>
        <item x="33"/>
        <item x="61"/>
        <item x="118"/>
        <item x="32"/>
        <item x="5"/>
        <item x="57"/>
        <item x="180"/>
        <item x="156"/>
        <item x="164"/>
        <item x="88"/>
        <item x="42"/>
        <item x="113"/>
        <item x="119"/>
        <item x="83"/>
        <item x="19"/>
        <item x="37"/>
        <item x="85"/>
        <item x="101"/>
        <item x="4"/>
        <item x="76"/>
        <item x="126"/>
        <item x="103"/>
        <item x="59"/>
        <item x="154"/>
        <item x="41"/>
        <item x="25"/>
        <item x="123"/>
        <item x="6"/>
        <item x="106"/>
        <item x="153"/>
        <item x="161"/>
        <item x="1"/>
        <item x="20"/>
        <item x="55"/>
        <item x="137"/>
        <item x="167"/>
        <item x="40"/>
        <item x="127"/>
        <item x="110"/>
        <item x="152"/>
        <item x="173"/>
        <item x="75"/>
        <item x="102"/>
        <item x="48"/>
        <item x="39"/>
        <item x="135"/>
        <item x="28"/>
        <item x="71"/>
        <item x="63"/>
        <item x="56"/>
        <item x="149"/>
        <item x="60"/>
        <item x="114"/>
        <item x="190"/>
        <item x="116"/>
        <item x="141"/>
        <item x="165"/>
        <item x="16"/>
        <item x="26"/>
        <item x="115"/>
        <item x="168"/>
        <item x="179"/>
        <item x="121"/>
        <item x="189"/>
        <item x="130"/>
        <item x="67"/>
        <item x="98"/>
        <item x="74"/>
        <item x="151"/>
        <item x="72"/>
        <item x="46"/>
        <item x="177"/>
        <item x="68"/>
        <item x="109"/>
        <item x="8"/>
        <item x="162"/>
        <item x="134"/>
        <item x="183"/>
        <item x="43"/>
        <item x="125"/>
        <item x="18"/>
        <item x="144"/>
        <item x="166"/>
        <item x="44"/>
        <item x="150"/>
        <item x="187"/>
        <item x="52"/>
        <item x="97"/>
        <item x="159"/>
        <item x="186"/>
        <item x="133"/>
        <item x="148"/>
        <item x="36"/>
        <item x="34"/>
        <item x="185"/>
        <item x="53"/>
        <item x="11"/>
        <item x="132"/>
        <item x="14"/>
        <item x="122"/>
        <item x="3"/>
        <item x="104"/>
        <item x="30"/>
        <item x="169"/>
        <item x="29"/>
        <item x="175"/>
        <item x="124"/>
        <item x="160"/>
        <item x="66"/>
        <item x="70"/>
        <item x="2"/>
        <item x="81"/>
        <item x="91"/>
        <item x="93"/>
        <item x="80"/>
        <item x="51"/>
        <item x="17"/>
        <item x="9"/>
        <item x="140"/>
        <item x="178"/>
        <item x="95"/>
        <item x="155"/>
        <item x="108"/>
        <item x="15"/>
        <item x="96"/>
        <item x="138"/>
        <item x="62"/>
        <item x="129"/>
        <item x="105"/>
        <item x="87"/>
        <item x="158"/>
        <item x="139"/>
        <item x="47"/>
        <item x="146"/>
        <item x="131"/>
        <item x="82"/>
        <item x="117"/>
        <item x="27"/>
        <item x="163"/>
        <item x="12"/>
        <item x="94"/>
        <item x="24"/>
        <item x="78"/>
        <item x="10"/>
        <item x="77"/>
        <item x="35"/>
        <item x="50"/>
        <item x="49"/>
        <item x="184"/>
        <item x="90"/>
        <item x="79"/>
        <item x="128"/>
        <item x="23"/>
        <item x="136"/>
        <item x="65"/>
        <item x="84"/>
        <item x="38"/>
        <item x="181"/>
        <item x="100"/>
        <item x="182"/>
        <item x="176"/>
        <item x="145"/>
        <item x="171"/>
        <item x="89"/>
        <item x="22"/>
        <item x="111"/>
        <item x="64"/>
        <item x="143"/>
        <item x="92"/>
        <item x="147"/>
        <item x="174"/>
        <item x="13"/>
        <item t="default"/>
      </items>
    </pivotField>
    <pivotField showAll="0"/>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items count="3">
        <item x="1"/>
        <item x="0"/>
        <item t="default"/>
      </items>
    </pivotField>
    <pivotField showAll="0"/>
    <pivotField showAll="0">
      <items count="4">
        <item x="1"/>
        <item x="0"/>
        <item x="2"/>
        <item t="default"/>
      </items>
    </pivotField>
    <pivotField showAll="0">
      <items count="3">
        <item x="0"/>
        <item x="1"/>
        <item t="default"/>
      </items>
    </pivotField>
    <pivotField showAll="0">
      <items count="21">
        <item x="18"/>
        <item x="12"/>
        <item x="4"/>
        <item x="16"/>
        <item x="14"/>
        <item x="15"/>
        <item x="0"/>
        <item x="19"/>
        <item x="11"/>
        <item x="7"/>
        <item x="9"/>
        <item x="3"/>
        <item x="10"/>
        <item x="2"/>
        <item x="6"/>
        <item x="17"/>
        <item x="1"/>
        <item x="5"/>
        <item x="13"/>
        <item x="8"/>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Sales_Amount" fld="4" baseField="0" baseItem="0"/>
  </dataFields>
  <chartFormats count="1">
    <chartFormat chart="1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05C9C1-8952-4212-9640-D422E0B852FD}"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H7" firstHeaderRow="1" firstDataRow="1" firstDataCol="1"/>
  <pivotFields count="16">
    <pivotField showAll="0"/>
    <pivotField numFmtId="14" showAll="0">
      <items count="193">
        <item x="58"/>
        <item x="21"/>
        <item x="99"/>
        <item x="7"/>
        <item x="69"/>
        <item x="142"/>
        <item x="73"/>
        <item x="107"/>
        <item x="120"/>
        <item x="172"/>
        <item x="191"/>
        <item x="54"/>
        <item x="112"/>
        <item x="170"/>
        <item x="45"/>
        <item x="157"/>
        <item x="31"/>
        <item x="188"/>
        <item x="0"/>
        <item x="86"/>
        <item x="33"/>
        <item x="61"/>
        <item x="118"/>
        <item x="32"/>
        <item x="5"/>
        <item x="57"/>
        <item x="180"/>
        <item x="156"/>
        <item x="164"/>
        <item x="88"/>
        <item x="42"/>
        <item x="113"/>
        <item x="119"/>
        <item x="83"/>
        <item x="19"/>
        <item x="37"/>
        <item x="85"/>
        <item x="101"/>
        <item x="4"/>
        <item x="76"/>
        <item x="126"/>
        <item x="103"/>
        <item x="59"/>
        <item x="154"/>
        <item x="41"/>
        <item x="25"/>
        <item x="123"/>
        <item x="6"/>
        <item x="106"/>
        <item x="153"/>
        <item x="161"/>
        <item x="1"/>
        <item x="20"/>
        <item x="55"/>
        <item x="137"/>
        <item x="167"/>
        <item x="40"/>
        <item x="127"/>
        <item x="110"/>
        <item x="152"/>
        <item x="173"/>
        <item x="75"/>
        <item x="102"/>
        <item x="48"/>
        <item x="39"/>
        <item x="135"/>
        <item x="28"/>
        <item x="71"/>
        <item x="63"/>
        <item x="56"/>
        <item x="149"/>
        <item x="60"/>
        <item x="114"/>
        <item x="190"/>
        <item x="116"/>
        <item x="141"/>
        <item x="165"/>
        <item x="16"/>
        <item x="26"/>
        <item x="115"/>
        <item x="168"/>
        <item x="179"/>
        <item x="121"/>
        <item x="189"/>
        <item x="130"/>
        <item x="67"/>
        <item x="98"/>
        <item x="74"/>
        <item x="151"/>
        <item x="72"/>
        <item x="46"/>
        <item x="177"/>
        <item x="68"/>
        <item x="109"/>
        <item x="8"/>
        <item x="162"/>
        <item x="134"/>
        <item x="183"/>
        <item x="43"/>
        <item x="125"/>
        <item x="18"/>
        <item x="144"/>
        <item x="166"/>
        <item x="44"/>
        <item x="150"/>
        <item x="187"/>
        <item x="52"/>
        <item x="97"/>
        <item x="159"/>
        <item x="186"/>
        <item x="133"/>
        <item x="148"/>
        <item x="36"/>
        <item x="34"/>
        <item x="185"/>
        <item x="53"/>
        <item x="11"/>
        <item x="132"/>
        <item x="14"/>
        <item x="122"/>
        <item x="3"/>
        <item x="104"/>
        <item x="30"/>
        <item x="169"/>
        <item x="29"/>
        <item x="175"/>
        <item x="124"/>
        <item x="160"/>
        <item x="66"/>
        <item x="70"/>
        <item x="2"/>
        <item x="81"/>
        <item x="91"/>
        <item x="93"/>
        <item x="80"/>
        <item x="51"/>
        <item x="17"/>
        <item x="9"/>
        <item x="140"/>
        <item x="178"/>
        <item x="95"/>
        <item x="155"/>
        <item x="108"/>
        <item x="15"/>
        <item x="96"/>
        <item x="138"/>
        <item x="62"/>
        <item x="129"/>
        <item x="105"/>
        <item x="87"/>
        <item x="158"/>
        <item x="139"/>
        <item x="47"/>
        <item x="146"/>
        <item x="131"/>
        <item x="82"/>
        <item x="117"/>
        <item x="27"/>
        <item x="163"/>
        <item x="12"/>
        <item x="94"/>
        <item x="24"/>
        <item x="78"/>
        <item x="10"/>
        <item x="77"/>
        <item x="35"/>
        <item x="50"/>
        <item x="49"/>
        <item x="184"/>
        <item x="90"/>
        <item x="79"/>
        <item x="128"/>
        <item x="23"/>
        <item x="136"/>
        <item x="65"/>
        <item x="84"/>
        <item x="38"/>
        <item x="181"/>
        <item x="100"/>
        <item x="182"/>
        <item x="176"/>
        <item x="145"/>
        <item x="171"/>
        <item x="89"/>
        <item x="22"/>
        <item x="111"/>
        <item x="64"/>
        <item x="143"/>
        <item x="92"/>
        <item x="147"/>
        <item x="174"/>
        <item x="13"/>
        <item t="default"/>
      </items>
    </pivotField>
    <pivotField axis="axisRow" showAll="0">
      <items count="6">
        <item x="4"/>
        <item x="0"/>
        <item x="2"/>
        <item x="1"/>
        <item x="3"/>
        <item t="default"/>
      </items>
    </pivotField>
    <pivotField showAll="0"/>
    <pivotField dataField="1" showAll="0"/>
    <pivotField showAll="0"/>
    <pivotField showAll="0">
      <items count="5">
        <item x="2"/>
        <item x="3"/>
        <item x="1"/>
        <item x="0"/>
        <item t="default"/>
      </items>
    </pivotField>
    <pivotField showAll="0"/>
    <pivotField showAll="0"/>
    <pivotField showAll="0">
      <items count="3">
        <item x="1"/>
        <item x="0"/>
        <item t="default"/>
      </items>
    </pivotField>
    <pivotField showAll="0"/>
    <pivotField showAll="0"/>
    <pivotField showAll="0"/>
    <pivotField showAll="0">
      <items count="21">
        <item x="18"/>
        <item x="12"/>
        <item x="4"/>
        <item x="16"/>
        <item x="14"/>
        <item x="15"/>
        <item x="0"/>
        <item x="19"/>
        <item x="11"/>
        <item x="7"/>
        <item x="9"/>
        <item x="3"/>
        <item x="10"/>
        <item x="2"/>
        <item x="6"/>
        <item x="17"/>
        <item x="1"/>
        <item x="5"/>
        <item x="13"/>
        <item x="8"/>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
    <i>
      <x/>
    </i>
    <i>
      <x v="1"/>
    </i>
    <i>
      <x v="2"/>
    </i>
    <i>
      <x v="3"/>
    </i>
    <i>
      <x v="4"/>
    </i>
    <i t="grand">
      <x/>
    </i>
  </rowItems>
  <colItems count="1">
    <i/>
  </colItems>
  <dataFields count="1">
    <dataField name="Sum of Sales_Amount" fld="4" baseField="0" baseItem="0"/>
  </dataFields>
  <chartFormats count="1">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ADEA00-A055-47BE-96CE-7467898AE81F}"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1:E6" firstHeaderRow="1" firstDataRow="1" firstDataCol="1"/>
  <pivotFields count="16">
    <pivotField showAll="0"/>
    <pivotField numFmtId="14" showAll="0">
      <items count="193">
        <item x="58"/>
        <item x="21"/>
        <item x="99"/>
        <item x="7"/>
        <item x="69"/>
        <item x="142"/>
        <item x="73"/>
        <item x="107"/>
        <item x="120"/>
        <item x="172"/>
        <item x="191"/>
        <item x="54"/>
        <item x="112"/>
        <item x="170"/>
        <item x="45"/>
        <item x="157"/>
        <item x="31"/>
        <item x="188"/>
        <item x="0"/>
        <item x="86"/>
        <item x="33"/>
        <item x="61"/>
        <item x="118"/>
        <item x="32"/>
        <item x="5"/>
        <item x="57"/>
        <item x="180"/>
        <item x="156"/>
        <item x="164"/>
        <item x="88"/>
        <item x="42"/>
        <item x="113"/>
        <item x="119"/>
        <item x="83"/>
        <item x="19"/>
        <item x="37"/>
        <item x="85"/>
        <item x="101"/>
        <item x="4"/>
        <item x="76"/>
        <item x="126"/>
        <item x="103"/>
        <item x="59"/>
        <item x="154"/>
        <item x="41"/>
        <item x="25"/>
        <item x="123"/>
        <item x="6"/>
        <item x="106"/>
        <item x="153"/>
        <item x="161"/>
        <item x="1"/>
        <item x="20"/>
        <item x="55"/>
        <item x="137"/>
        <item x="167"/>
        <item x="40"/>
        <item x="127"/>
        <item x="110"/>
        <item x="152"/>
        <item x="173"/>
        <item x="75"/>
        <item x="102"/>
        <item x="48"/>
        <item x="39"/>
        <item x="135"/>
        <item x="28"/>
        <item x="71"/>
        <item x="63"/>
        <item x="56"/>
        <item x="149"/>
        <item x="60"/>
        <item x="114"/>
        <item x="190"/>
        <item x="116"/>
        <item x="141"/>
        <item x="165"/>
        <item x="16"/>
        <item x="26"/>
        <item x="115"/>
        <item x="168"/>
        <item x="179"/>
        <item x="121"/>
        <item x="189"/>
        <item x="130"/>
        <item x="67"/>
        <item x="98"/>
        <item x="74"/>
        <item x="151"/>
        <item x="72"/>
        <item x="46"/>
        <item x="177"/>
        <item x="68"/>
        <item x="109"/>
        <item x="8"/>
        <item x="162"/>
        <item x="134"/>
        <item x="183"/>
        <item x="43"/>
        <item x="125"/>
        <item x="18"/>
        <item x="144"/>
        <item x="166"/>
        <item x="44"/>
        <item x="150"/>
        <item x="187"/>
        <item x="52"/>
        <item x="97"/>
        <item x="159"/>
        <item x="186"/>
        <item x="133"/>
        <item x="148"/>
        <item x="36"/>
        <item x="34"/>
        <item x="185"/>
        <item x="53"/>
        <item x="11"/>
        <item x="132"/>
        <item x="14"/>
        <item x="122"/>
        <item x="3"/>
        <item x="104"/>
        <item x="30"/>
        <item x="169"/>
        <item x="29"/>
        <item x="175"/>
        <item x="124"/>
        <item x="160"/>
        <item x="66"/>
        <item x="70"/>
        <item x="2"/>
        <item x="81"/>
        <item x="91"/>
        <item x="93"/>
        <item x="80"/>
        <item x="51"/>
        <item x="17"/>
        <item x="9"/>
        <item x="140"/>
        <item x="178"/>
        <item x="95"/>
        <item x="155"/>
        <item x="108"/>
        <item x="15"/>
        <item x="96"/>
        <item x="138"/>
        <item x="62"/>
        <item x="129"/>
        <item x="105"/>
        <item x="87"/>
        <item x="158"/>
        <item x="139"/>
        <item x="47"/>
        <item x="146"/>
        <item x="131"/>
        <item x="82"/>
        <item x="117"/>
        <item x="27"/>
        <item x="163"/>
        <item x="12"/>
        <item x="94"/>
        <item x="24"/>
        <item x="78"/>
        <item x="10"/>
        <item x="77"/>
        <item x="35"/>
        <item x="50"/>
        <item x="49"/>
        <item x="184"/>
        <item x="90"/>
        <item x="79"/>
        <item x="128"/>
        <item x="23"/>
        <item x="136"/>
        <item x="65"/>
        <item x="84"/>
        <item x="38"/>
        <item x="181"/>
        <item x="100"/>
        <item x="182"/>
        <item x="176"/>
        <item x="145"/>
        <item x="171"/>
        <item x="89"/>
        <item x="22"/>
        <item x="111"/>
        <item x="64"/>
        <item x="143"/>
        <item x="92"/>
        <item x="147"/>
        <item x="174"/>
        <item x="13"/>
        <item t="default"/>
      </items>
    </pivotField>
    <pivotField showAll="0"/>
    <pivotField showAll="0"/>
    <pivotField dataField="1" showAll="0"/>
    <pivotField showAll="0"/>
    <pivotField axis="axisRow" showAll="0">
      <items count="5">
        <item x="2"/>
        <item x="3"/>
        <item x="1"/>
        <item x="0"/>
        <item t="default"/>
      </items>
    </pivotField>
    <pivotField showAll="0"/>
    <pivotField showAll="0"/>
    <pivotField showAll="0"/>
    <pivotField showAll="0"/>
    <pivotField showAll="0"/>
    <pivotField showAll="0"/>
    <pivotField showAll="0">
      <items count="21">
        <item x="18"/>
        <item x="12"/>
        <item x="4"/>
        <item x="16"/>
        <item x="14"/>
        <item x="15"/>
        <item x="0"/>
        <item x="19"/>
        <item x="11"/>
        <item x="7"/>
        <item x="9"/>
        <item x="3"/>
        <item x="10"/>
        <item x="2"/>
        <item x="6"/>
        <item x="17"/>
        <item x="1"/>
        <item x="5"/>
        <item x="13"/>
        <item x="8"/>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Sum of Sales_Amount" fld="4" baseField="0" baseItem="0"/>
  </dataFields>
  <chartFormats count="5">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6" count="1" selected="0">
            <x v="0"/>
          </reference>
        </references>
      </pivotArea>
    </chartFormat>
    <chartFormat chart="11" format="3">
      <pivotArea type="data" outline="0" fieldPosition="0">
        <references count="2">
          <reference field="4294967294" count="1" selected="0">
            <x v="0"/>
          </reference>
          <reference field="6" count="1" selected="0">
            <x v="1"/>
          </reference>
        </references>
      </pivotArea>
    </chartFormat>
    <chartFormat chart="11" format="4">
      <pivotArea type="data" outline="0" fieldPosition="0">
        <references count="2">
          <reference field="4294967294" count="1" selected="0">
            <x v="0"/>
          </reference>
          <reference field="6" count="1" selected="0">
            <x v="2"/>
          </reference>
        </references>
      </pivotArea>
    </chartFormat>
    <chartFormat chart="11" format="5">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1D4A8E-4232-4B01-A535-6B5F357C0C52}"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B22" firstHeaderRow="1" firstDataRow="1" firstDataCol="1"/>
  <pivotFields count="16">
    <pivotField showAll="0"/>
    <pivotField numFmtId="14" showAll="0">
      <items count="193">
        <item x="58"/>
        <item x="21"/>
        <item x="99"/>
        <item x="7"/>
        <item x="69"/>
        <item x="142"/>
        <item x="73"/>
        <item x="107"/>
        <item x="120"/>
        <item x="172"/>
        <item x="191"/>
        <item x="54"/>
        <item x="112"/>
        <item x="170"/>
        <item x="45"/>
        <item x="157"/>
        <item x="31"/>
        <item x="188"/>
        <item x="0"/>
        <item x="86"/>
        <item x="33"/>
        <item x="61"/>
        <item x="118"/>
        <item x="32"/>
        <item x="5"/>
        <item x="57"/>
        <item x="180"/>
        <item x="156"/>
        <item x="164"/>
        <item x="88"/>
        <item x="42"/>
        <item x="113"/>
        <item x="119"/>
        <item x="83"/>
        <item x="19"/>
        <item x="37"/>
        <item x="85"/>
        <item x="101"/>
        <item x="4"/>
        <item x="76"/>
        <item x="126"/>
        <item x="103"/>
        <item x="59"/>
        <item x="154"/>
        <item x="41"/>
        <item x="25"/>
        <item x="123"/>
        <item x="6"/>
        <item x="106"/>
        <item x="153"/>
        <item x="161"/>
        <item x="1"/>
        <item x="20"/>
        <item x="55"/>
        <item x="137"/>
        <item x="167"/>
        <item x="40"/>
        <item x="127"/>
        <item x="110"/>
        <item x="152"/>
        <item x="173"/>
        <item x="75"/>
        <item x="102"/>
        <item x="48"/>
        <item x="39"/>
        <item x="135"/>
        <item x="28"/>
        <item x="71"/>
        <item x="63"/>
        <item x="56"/>
        <item x="149"/>
        <item x="60"/>
        <item x="114"/>
        <item x="190"/>
        <item x="116"/>
        <item x="141"/>
        <item x="165"/>
        <item x="16"/>
        <item x="26"/>
        <item x="115"/>
        <item x="168"/>
        <item x="179"/>
        <item x="121"/>
        <item x="189"/>
        <item x="130"/>
        <item x="67"/>
        <item x="98"/>
        <item x="74"/>
        <item x="151"/>
        <item x="72"/>
        <item x="46"/>
        <item x="177"/>
        <item x="68"/>
        <item x="109"/>
        <item x="8"/>
        <item x="162"/>
        <item x="134"/>
        <item x="183"/>
        <item x="43"/>
        <item x="125"/>
        <item x="18"/>
        <item x="144"/>
        <item x="166"/>
        <item x="44"/>
        <item x="150"/>
        <item x="187"/>
        <item x="52"/>
        <item x="97"/>
        <item x="159"/>
        <item x="186"/>
        <item x="133"/>
        <item x="148"/>
        <item x="36"/>
        <item x="34"/>
        <item x="185"/>
        <item x="53"/>
        <item x="11"/>
        <item x="132"/>
        <item x="14"/>
        <item x="122"/>
        <item x="3"/>
        <item x="104"/>
        <item x="30"/>
        <item x="169"/>
        <item x="29"/>
        <item x="175"/>
        <item x="124"/>
        <item x="160"/>
        <item x="66"/>
        <item x="70"/>
        <item x="2"/>
        <item x="81"/>
        <item x="91"/>
        <item x="93"/>
        <item x="80"/>
        <item x="51"/>
        <item x="17"/>
        <item x="9"/>
        <item x="140"/>
        <item x="178"/>
        <item x="95"/>
        <item x="155"/>
        <item x="108"/>
        <item x="15"/>
        <item x="96"/>
        <item x="138"/>
        <item x="62"/>
        <item x="129"/>
        <item x="105"/>
        <item x="87"/>
        <item x="158"/>
        <item x="139"/>
        <item x="47"/>
        <item x="146"/>
        <item x="131"/>
        <item x="82"/>
        <item x="117"/>
        <item x="27"/>
        <item x="163"/>
        <item x="12"/>
        <item x="94"/>
        <item x="24"/>
        <item x="78"/>
        <item x="10"/>
        <item x="77"/>
        <item x="35"/>
        <item x="50"/>
        <item x="49"/>
        <item x="184"/>
        <item x="90"/>
        <item x="79"/>
        <item x="128"/>
        <item x="23"/>
        <item x="136"/>
        <item x="65"/>
        <item x="84"/>
        <item x="38"/>
        <item x="181"/>
        <item x="100"/>
        <item x="182"/>
        <item x="176"/>
        <item x="145"/>
        <item x="171"/>
        <item x="89"/>
        <item x="22"/>
        <item x="111"/>
        <item x="64"/>
        <item x="143"/>
        <item x="92"/>
        <item x="147"/>
        <item x="174"/>
        <item x="13"/>
        <item t="default"/>
      </items>
    </pivotField>
    <pivotField showAll="0"/>
    <pivotField showAll="0"/>
    <pivotField dataField="1" showAll="0"/>
    <pivotField showAll="0"/>
    <pivotField showAll="0">
      <items count="5">
        <item x="2"/>
        <item x="3"/>
        <item x="1"/>
        <item x="0"/>
        <item t="default"/>
      </items>
    </pivotField>
    <pivotField showAll="0"/>
    <pivotField showAll="0"/>
    <pivotField showAll="0"/>
    <pivotField showAll="0"/>
    <pivotField showAll="0"/>
    <pivotField showAll="0"/>
    <pivotField axis="axisRow" showAll="0">
      <items count="21">
        <item x="18"/>
        <item x="12"/>
        <item x="4"/>
        <item x="16"/>
        <item x="14"/>
        <item x="15"/>
        <item x="0"/>
        <item x="19"/>
        <item x="11"/>
        <item x="7"/>
        <item x="9"/>
        <item x="3"/>
        <item x="10"/>
        <item x="2"/>
        <item x="6"/>
        <item x="17"/>
        <item x="1"/>
        <item x="5"/>
        <item x="13"/>
        <item x="8"/>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s_Amount" fld="4" baseField="0" baseItem="0"/>
  </dataFields>
  <chartFormats count="1">
    <chartFormat chart="1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37903E3-9D1E-4BB6-B009-C40B969ADE40}" autoFormatId="16" applyNumberFormats="0" applyBorderFormats="0" applyFontFormats="0" applyPatternFormats="0" applyAlignmentFormats="0" applyWidthHeightFormats="0">
  <queryTableRefresh nextId="15">
    <queryTableFields count="14">
      <queryTableField id="1" name="Product_ID" tableColumnId="1"/>
      <queryTableField id="2" name="Sale_Date" tableColumnId="2"/>
      <queryTableField id="3" name="Sales_Rep" tableColumnId="3"/>
      <queryTableField id="4" name="Region" tableColumnId="4"/>
      <queryTableField id="5" name="Sales_Amount" tableColumnId="5"/>
      <queryTableField id="6" name="Quantity_Sold" tableColumnId="6"/>
      <queryTableField id="7" name="Product_Category" tableColumnId="7"/>
      <queryTableField id="8" name="Unit_Cost" tableColumnId="8"/>
      <queryTableField id="9" name="Unit_Price" tableColumnId="9"/>
      <queryTableField id="10" name="Customer_Type" tableColumnId="10"/>
      <queryTableField id="11" name="Discount" tableColumnId="11"/>
      <queryTableField id="12" name="Payment_Method" tableColumnId="12"/>
      <queryTableField id="13" name="Sales_Channel" tableColumnId="13"/>
      <queryTableField id="14" name="Region_and_Sales_Rep"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66610A2-EA46-49E9-B06B-8E3281C02743}" sourceName="Product_Category">
  <pivotTables>
    <pivotTable tabId="2" name="PivotTable3"/>
    <pivotTable tabId="2" name="PivotTable1"/>
    <pivotTable tabId="2" name="PivotTable4"/>
    <pivotTable tabId="2" name="PivotTable5"/>
    <pivotTable tabId="2" name="PivotTable6"/>
  </pivotTables>
  <data>
    <tabular pivotCacheId="1770793044">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and_Sales_Rep" xr10:uid="{8CAE3720-C278-4EAE-96C4-3AF609F5A3BF}" sourceName="Region_and_Sales_Rep">
  <pivotTables>
    <pivotTable tabId="2" name="PivotTable1"/>
    <pivotTable tabId="2" name="PivotTable3"/>
    <pivotTable tabId="2" name="PivotTable4"/>
    <pivotTable tabId="2" name="PivotTable5"/>
    <pivotTable tabId="2" name="PivotTable6"/>
  </pivotTables>
  <data>
    <tabular pivotCacheId="1770793044">
      <items count="20">
        <i x="18" s="1"/>
        <i x="12" s="1"/>
        <i x="4" s="1"/>
        <i x="16" s="1"/>
        <i x="14" s="1"/>
        <i x="15" s="1"/>
        <i x="0" s="1"/>
        <i x="19" s="1"/>
        <i x="11" s="1"/>
        <i x="7" s="1"/>
        <i x="9" s="1"/>
        <i x="3" s="1"/>
        <i x="10" s="1"/>
        <i x="2" s="1"/>
        <i x="6" s="1"/>
        <i x="17" s="1"/>
        <i x="1" s="1"/>
        <i x="5" s="1"/>
        <i x="13"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CBD9129B-BA16-4110-ABD2-D44F60F9C075}" cache="Slicer_Product_Category" caption="Product_Category" rowHeight="244336"/>
  <slicer name="Region_and_Sales_Rep" xr10:uid="{D7EC0879-AF1B-419D-8FE8-8965613EE04C}" cache="Slicer_Region_and_Sales_Rep" caption="Region_and_Sales_Rep" rowHeight="24433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6BD6C2-08DE-4A48-A9E0-E8FB91356492}" name="sales_data" displayName="sales_data" ref="A1:N301" tableType="queryTable" totalsRowShown="0">
  <autoFilter ref="A1:N301" xr:uid="{C86BD6C2-08DE-4A48-A9E0-E8FB91356492}"/>
  <tableColumns count="14">
    <tableColumn id="1" xr3:uid="{F08E2E1A-38C8-428E-9B10-50A2A532D8B3}" uniqueName="1" name="Product_ID" queryTableFieldId="1"/>
    <tableColumn id="2" xr3:uid="{69973DB0-A1BF-4578-BB7A-4F4F2CE62329}" uniqueName="2" name="Sale_Date" queryTableFieldId="2" dataDxfId="12"/>
    <tableColumn id="3" xr3:uid="{A3B6597F-AEC8-4749-AF0D-01FA2D89D68F}" uniqueName="3" name="Sales_Rep" queryTableFieldId="3" dataDxfId="11"/>
    <tableColumn id="4" xr3:uid="{412074F1-1FA3-4292-95D2-186FA340A007}" uniqueName="4" name="Region" queryTableFieldId="4" dataDxfId="10"/>
    <tableColumn id="5" xr3:uid="{D9C72346-01F6-40CD-9B1B-1B2A11B7A652}" uniqueName="5" name="Sales_Amount" queryTableFieldId="5"/>
    <tableColumn id="6" xr3:uid="{88F652C1-CFEF-45C8-B65F-7B2C8B78F303}" uniqueName="6" name="Quantity_Sold" queryTableFieldId="6"/>
    <tableColumn id="7" xr3:uid="{A52FD86A-0FDE-424D-B3EB-A364A2642367}" uniqueName="7" name="Product_Category" queryTableFieldId="7" dataDxfId="9"/>
    <tableColumn id="8" xr3:uid="{35A7AF33-F832-4CB2-AC28-44400FF83746}" uniqueName="8" name="Unit_Cost" queryTableFieldId="8"/>
    <tableColumn id="9" xr3:uid="{F2C1B1A2-B9F5-4304-8183-4F142C4B951E}" uniqueName="9" name="Unit_Price" queryTableFieldId="9"/>
    <tableColumn id="10" xr3:uid="{E3D33BC0-CB7F-45C2-A371-A48CE3E8B409}" uniqueName="10" name="Customer_Type" queryTableFieldId="10" dataDxfId="8"/>
    <tableColumn id="11" xr3:uid="{787A2627-58D0-4BA0-983E-D9332BF380A0}" uniqueName="11" name="Discount" queryTableFieldId="11"/>
    <tableColumn id="12" xr3:uid="{B599CB26-C45D-42A2-8DEF-9C784D1D07A7}" uniqueName="12" name="Payment_Method" queryTableFieldId="12" dataDxfId="7"/>
    <tableColumn id="13" xr3:uid="{92C8A7FE-90DC-423A-A826-3AFDB4C61B63}" uniqueName="13" name="Sales_Channel" queryTableFieldId="13" dataDxfId="6"/>
    <tableColumn id="14" xr3:uid="{2876FD18-8E99-404C-A386-91CB5261F6D9}" uniqueName="14" name="Region_and_Sales_Rep" queryTableFieldId="14"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28B794C-AA6B-4319-8612-BE72CCA8E653}" name="Table3" displayName="Table3" ref="A1:B6" totalsRowShown="0" headerRowDxfId="4" dataDxfId="3" tableBorderDxfId="2">
  <autoFilter ref="A1:B6" xr:uid="{928B794C-AA6B-4319-8612-BE72CCA8E653}"/>
  <tableColumns count="2">
    <tableColumn id="1" xr3:uid="{A506D626-30AF-439E-B5CF-63160383C8AA}" name="Metric" dataDxfId="1"/>
    <tableColumn id="2" xr3:uid="{92145244-90C9-4BC8-9DA6-E2327A7C7784}" name="Value"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23E4E-1207-4EA8-800A-F025BB2ABB07}">
  <dimension ref="A1:N301"/>
  <sheetViews>
    <sheetView workbookViewId="0"/>
  </sheetViews>
  <sheetFormatPr defaultRowHeight="15.05" x14ac:dyDescent="0.3"/>
  <cols>
    <col min="1" max="1" width="12.5546875" bestFit="1" customWidth="1"/>
    <col min="2" max="2" width="11.44140625" bestFit="1" customWidth="1"/>
    <col min="3" max="3" width="11.5546875" bestFit="1" customWidth="1"/>
    <col min="5" max="5" width="15.33203125" bestFit="1" customWidth="1"/>
    <col min="6" max="6" width="15.21875" bestFit="1" customWidth="1"/>
    <col min="7" max="7" width="18.44140625" bestFit="1" customWidth="1"/>
    <col min="8" max="8" width="11.33203125" bestFit="1" customWidth="1"/>
    <col min="9" max="9" width="11.77734375" bestFit="1" customWidth="1"/>
    <col min="10" max="10" width="16.44140625" bestFit="1" customWidth="1"/>
    <col min="11" max="11" width="10.44140625" bestFit="1" customWidth="1"/>
    <col min="12" max="12" width="18.5546875" bestFit="1" customWidth="1"/>
    <col min="13" max="13" width="15.33203125" bestFit="1" customWidth="1"/>
    <col min="14" max="14" width="22.777343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1052</v>
      </c>
      <c r="B2" s="1">
        <v>44960</v>
      </c>
      <c r="C2" t="s">
        <v>14</v>
      </c>
      <c r="D2" t="s">
        <v>15</v>
      </c>
      <c r="E2">
        <v>5053.97</v>
      </c>
      <c r="F2">
        <v>18</v>
      </c>
      <c r="G2" t="s">
        <v>16</v>
      </c>
      <c r="H2">
        <v>152.75</v>
      </c>
      <c r="I2">
        <v>267.22000000000003</v>
      </c>
      <c r="J2" t="s">
        <v>17</v>
      </c>
      <c r="K2">
        <v>0.09</v>
      </c>
      <c r="L2" t="s">
        <v>18</v>
      </c>
      <c r="M2" t="s">
        <v>19</v>
      </c>
      <c r="N2" t="s">
        <v>20</v>
      </c>
    </row>
    <row r="3" spans="1:14" x14ac:dyDescent="0.3">
      <c r="A3">
        <v>1093</v>
      </c>
      <c r="B3" s="1">
        <v>45037</v>
      </c>
      <c r="C3" t="s">
        <v>14</v>
      </c>
      <c r="D3" t="s">
        <v>21</v>
      </c>
      <c r="E3">
        <v>4384.0200000000004</v>
      </c>
      <c r="F3">
        <v>17</v>
      </c>
      <c r="G3" t="s">
        <v>16</v>
      </c>
      <c r="H3">
        <v>3816.39</v>
      </c>
      <c r="I3">
        <v>4209.4399999999996</v>
      </c>
      <c r="J3" t="s">
        <v>17</v>
      </c>
      <c r="K3">
        <v>0.11</v>
      </c>
      <c r="L3" t="s">
        <v>18</v>
      </c>
      <c r="M3" t="s">
        <v>22</v>
      </c>
      <c r="N3" t="s">
        <v>23</v>
      </c>
    </row>
    <row r="4" spans="1:14" x14ac:dyDescent="0.3">
      <c r="A4">
        <v>1015</v>
      </c>
      <c r="B4" s="1">
        <v>45190</v>
      </c>
      <c r="C4" t="s">
        <v>24</v>
      </c>
      <c r="D4" t="s">
        <v>25</v>
      </c>
      <c r="E4">
        <v>4631.2299999999996</v>
      </c>
      <c r="F4">
        <v>30</v>
      </c>
      <c r="G4" t="s">
        <v>26</v>
      </c>
      <c r="H4">
        <v>261.56</v>
      </c>
      <c r="I4">
        <v>371.4</v>
      </c>
      <c r="J4" t="s">
        <v>17</v>
      </c>
      <c r="K4">
        <v>0.2</v>
      </c>
      <c r="L4" t="s">
        <v>27</v>
      </c>
      <c r="M4" t="s">
        <v>22</v>
      </c>
      <c r="N4" t="s">
        <v>28</v>
      </c>
    </row>
    <row r="5" spans="1:14" x14ac:dyDescent="0.3">
      <c r="A5">
        <v>1072</v>
      </c>
      <c r="B5" s="1">
        <v>45162</v>
      </c>
      <c r="C5" t="s">
        <v>14</v>
      </c>
      <c r="D5" t="s">
        <v>25</v>
      </c>
      <c r="E5">
        <v>2167.94</v>
      </c>
      <c r="F5">
        <v>39</v>
      </c>
      <c r="G5" t="s">
        <v>29</v>
      </c>
      <c r="H5">
        <v>4330.03</v>
      </c>
      <c r="I5">
        <v>4467.75</v>
      </c>
      <c r="J5" t="s">
        <v>30</v>
      </c>
      <c r="K5">
        <v>0.02</v>
      </c>
      <c r="L5" t="s">
        <v>31</v>
      </c>
      <c r="M5" t="s">
        <v>22</v>
      </c>
      <c r="N5" t="s">
        <v>32</v>
      </c>
    </row>
    <row r="6" spans="1:14" x14ac:dyDescent="0.3">
      <c r="A6">
        <v>1061</v>
      </c>
      <c r="B6" s="1">
        <v>45009</v>
      </c>
      <c r="C6" t="s">
        <v>33</v>
      </c>
      <c r="D6" t="s">
        <v>34</v>
      </c>
      <c r="E6">
        <v>3750.2</v>
      </c>
      <c r="F6">
        <v>13</v>
      </c>
      <c r="G6" t="s">
        <v>35</v>
      </c>
      <c r="H6">
        <v>637.37</v>
      </c>
      <c r="I6">
        <v>692.71</v>
      </c>
      <c r="J6" t="s">
        <v>30</v>
      </c>
      <c r="K6">
        <v>0.08</v>
      </c>
      <c r="L6" t="s">
        <v>31</v>
      </c>
      <c r="M6" t="s">
        <v>19</v>
      </c>
      <c r="N6" t="s">
        <v>36</v>
      </c>
    </row>
    <row r="7" spans="1:14" x14ac:dyDescent="0.3">
      <c r="A7">
        <v>1021</v>
      </c>
      <c r="B7" s="1">
        <v>44968</v>
      </c>
      <c r="C7" t="s">
        <v>33</v>
      </c>
      <c r="D7" t="s">
        <v>21</v>
      </c>
      <c r="E7">
        <v>3761.15</v>
      </c>
      <c r="F7">
        <v>32</v>
      </c>
      <c r="G7" t="s">
        <v>26</v>
      </c>
      <c r="H7">
        <v>900.79</v>
      </c>
      <c r="I7">
        <v>1106.51</v>
      </c>
      <c r="J7" t="s">
        <v>30</v>
      </c>
      <c r="K7">
        <v>0.21</v>
      </c>
      <c r="L7" t="s">
        <v>18</v>
      </c>
      <c r="M7" t="s">
        <v>19</v>
      </c>
      <c r="N7" t="s">
        <v>37</v>
      </c>
    </row>
    <row r="8" spans="1:14" x14ac:dyDescent="0.3">
      <c r="A8">
        <v>1083</v>
      </c>
      <c r="B8" s="1">
        <v>45027</v>
      </c>
      <c r="C8" t="s">
        <v>14</v>
      </c>
      <c r="D8" t="s">
        <v>21</v>
      </c>
      <c r="E8">
        <v>618.30999999999995</v>
      </c>
      <c r="F8">
        <v>29</v>
      </c>
      <c r="G8" t="s">
        <v>16</v>
      </c>
      <c r="H8">
        <v>2408.81</v>
      </c>
      <c r="I8">
        <v>2624.09</v>
      </c>
      <c r="J8" t="s">
        <v>17</v>
      </c>
      <c r="K8">
        <v>0.14000000000000001</v>
      </c>
      <c r="L8" t="s">
        <v>18</v>
      </c>
      <c r="M8" t="s">
        <v>19</v>
      </c>
      <c r="N8" t="s">
        <v>23</v>
      </c>
    </row>
    <row r="9" spans="1:14" x14ac:dyDescent="0.3">
      <c r="A9">
        <v>1087</v>
      </c>
      <c r="B9" s="1">
        <v>44932</v>
      </c>
      <c r="C9" t="s">
        <v>38</v>
      </c>
      <c r="D9" t="s">
        <v>25</v>
      </c>
      <c r="E9">
        <v>7698.92</v>
      </c>
      <c r="F9">
        <v>46</v>
      </c>
      <c r="G9" t="s">
        <v>16</v>
      </c>
      <c r="H9">
        <v>3702.51</v>
      </c>
      <c r="I9">
        <v>3964.65</v>
      </c>
      <c r="J9" t="s">
        <v>30</v>
      </c>
      <c r="K9">
        <v>0.12</v>
      </c>
      <c r="L9" t="s">
        <v>27</v>
      </c>
      <c r="M9" t="s">
        <v>19</v>
      </c>
      <c r="N9" t="s">
        <v>39</v>
      </c>
    </row>
    <row r="10" spans="1:14" x14ac:dyDescent="0.3">
      <c r="A10">
        <v>1075</v>
      </c>
      <c r="B10" s="1">
        <v>45106</v>
      </c>
      <c r="C10" t="s">
        <v>24</v>
      </c>
      <c r="D10" t="s">
        <v>25</v>
      </c>
      <c r="E10">
        <v>4223.3900000000003</v>
      </c>
      <c r="F10">
        <v>30</v>
      </c>
      <c r="G10" t="s">
        <v>16</v>
      </c>
      <c r="H10">
        <v>738.06</v>
      </c>
      <c r="I10">
        <v>1095.4499999999998</v>
      </c>
      <c r="J10" t="s">
        <v>30</v>
      </c>
      <c r="K10">
        <v>0.05</v>
      </c>
      <c r="L10" t="s">
        <v>27</v>
      </c>
      <c r="M10" t="s">
        <v>19</v>
      </c>
      <c r="N10" t="s">
        <v>28</v>
      </c>
    </row>
    <row r="11" spans="1:14" x14ac:dyDescent="0.3">
      <c r="A11">
        <v>1075</v>
      </c>
      <c r="B11" s="1">
        <v>45208</v>
      </c>
      <c r="C11" t="s">
        <v>33</v>
      </c>
      <c r="D11" t="s">
        <v>21</v>
      </c>
      <c r="E11">
        <v>8239.58</v>
      </c>
      <c r="F11">
        <v>18</v>
      </c>
      <c r="G11" t="s">
        <v>29</v>
      </c>
      <c r="H11">
        <v>2228.35</v>
      </c>
      <c r="I11">
        <v>2682.34</v>
      </c>
      <c r="J11" t="s">
        <v>30</v>
      </c>
      <c r="K11">
        <v>0.13</v>
      </c>
      <c r="L11" t="s">
        <v>27</v>
      </c>
      <c r="M11" t="s">
        <v>19</v>
      </c>
      <c r="N11" t="s">
        <v>37</v>
      </c>
    </row>
    <row r="12" spans="1:14" x14ac:dyDescent="0.3">
      <c r="A12">
        <v>1088</v>
      </c>
      <c r="B12" s="1">
        <v>45246</v>
      </c>
      <c r="C12" t="s">
        <v>38</v>
      </c>
      <c r="D12" t="s">
        <v>15</v>
      </c>
      <c r="E12">
        <v>8518.4500000000007</v>
      </c>
      <c r="F12">
        <v>13</v>
      </c>
      <c r="G12" t="s">
        <v>16</v>
      </c>
      <c r="H12">
        <v>2440.11</v>
      </c>
      <c r="I12">
        <v>2517.6</v>
      </c>
      <c r="J12" t="s">
        <v>30</v>
      </c>
      <c r="K12">
        <v>0.23</v>
      </c>
      <c r="L12" t="s">
        <v>27</v>
      </c>
      <c r="M12" t="s">
        <v>22</v>
      </c>
      <c r="N12" t="s">
        <v>40</v>
      </c>
    </row>
    <row r="13" spans="1:14" x14ac:dyDescent="0.3">
      <c r="A13">
        <v>1100</v>
      </c>
      <c r="B13" s="1">
        <v>45152</v>
      </c>
      <c r="C13" t="s">
        <v>14</v>
      </c>
      <c r="D13" t="s">
        <v>21</v>
      </c>
      <c r="E13">
        <v>2198.7399999999998</v>
      </c>
      <c r="F13">
        <v>43</v>
      </c>
      <c r="G13" t="s">
        <v>26</v>
      </c>
      <c r="H13">
        <v>1100.81</v>
      </c>
      <c r="I13">
        <v>1137.44</v>
      </c>
      <c r="J13" t="s">
        <v>17</v>
      </c>
      <c r="K13">
        <v>0.08</v>
      </c>
      <c r="L13" t="s">
        <v>27</v>
      </c>
      <c r="M13" t="s">
        <v>19</v>
      </c>
      <c r="N13" t="s">
        <v>23</v>
      </c>
    </row>
    <row r="14" spans="1:14" x14ac:dyDescent="0.3">
      <c r="A14">
        <v>1024</v>
      </c>
      <c r="B14" s="1">
        <v>45241</v>
      </c>
      <c r="C14" t="s">
        <v>38</v>
      </c>
      <c r="D14" t="s">
        <v>21</v>
      </c>
      <c r="E14">
        <v>6607.8</v>
      </c>
      <c r="F14">
        <v>21</v>
      </c>
      <c r="G14" t="s">
        <v>26</v>
      </c>
      <c r="H14">
        <v>622.01</v>
      </c>
      <c r="I14">
        <v>641.09</v>
      </c>
      <c r="J14" t="s">
        <v>17</v>
      </c>
      <c r="K14">
        <v>0</v>
      </c>
      <c r="L14" t="s">
        <v>27</v>
      </c>
      <c r="M14" t="s">
        <v>22</v>
      </c>
      <c r="N14" t="s">
        <v>41</v>
      </c>
    </row>
    <row r="15" spans="1:14" x14ac:dyDescent="0.3">
      <c r="A15">
        <v>1003</v>
      </c>
      <c r="B15" s="1">
        <v>45291</v>
      </c>
      <c r="C15" t="s">
        <v>42</v>
      </c>
      <c r="D15" t="s">
        <v>25</v>
      </c>
      <c r="E15">
        <v>4775.59</v>
      </c>
      <c r="F15">
        <v>30</v>
      </c>
      <c r="G15" t="s">
        <v>16</v>
      </c>
      <c r="H15">
        <v>4190.28</v>
      </c>
      <c r="I15">
        <v>4270.6499999999996</v>
      </c>
      <c r="J15" t="s">
        <v>30</v>
      </c>
      <c r="K15">
        <v>0.2</v>
      </c>
      <c r="L15" t="s">
        <v>18</v>
      </c>
      <c r="M15" t="s">
        <v>19</v>
      </c>
      <c r="N15" t="s">
        <v>43</v>
      </c>
    </row>
    <row r="16" spans="1:14" x14ac:dyDescent="0.3">
      <c r="A16">
        <v>1022</v>
      </c>
      <c r="B16" s="1">
        <v>45155</v>
      </c>
      <c r="C16" t="s">
        <v>33</v>
      </c>
      <c r="D16" t="s">
        <v>25</v>
      </c>
      <c r="E16">
        <v>8813.5499999999993</v>
      </c>
      <c r="F16">
        <v>21</v>
      </c>
      <c r="G16" t="s">
        <v>26</v>
      </c>
      <c r="H16">
        <v>2537.1999999999998</v>
      </c>
      <c r="I16">
        <v>2869.6</v>
      </c>
      <c r="J16" t="s">
        <v>30</v>
      </c>
      <c r="K16">
        <v>0.28999999999999998</v>
      </c>
      <c r="L16" t="s">
        <v>27</v>
      </c>
      <c r="M16" t="s">
        <v>22</v>
      </c>
      <c r="N16" t="s">
        <v>44</v>
      </c>
    </row>
    <row r="17" spans="1:14" x14ac:dyDescent="0.3">
      <c r="A17">
        <v>1053</v>
      </c>
      <c r="B17" s="1">
        <v>45215</v>
      </c>
      <c r="C17" t="s">
        <v>14</v>
      </c>
      <c r="D17" t="s">
        <v>15</v>
      </c>
      <c r="E17">
        <v>2235.83</v>
      </c>
      <c r="F17">
        <v>48</v>
      </c>
      <c r="G17" t="s">
        <v>16</v>
      </c>
      <c r="H17">
        <v>121.19</v>
      </c>
      <c r="I17">
        <v>487.65</v>
      </c>
      <c r="J17" t="s">
        <v>30</v>
      </c>
      <c r="K17">
        <v>0.18</v>
      </c>
      <c r="L17" t="s">
        <v>18</v>
      </c>
      <c r="M17" t="s">
        <v>22</v>
      </c>
      <c r="N17" t="s">
        <v>20</v>
      </c>
    </row>
    <row r="18" spans="1:14" x14ac:dyDescent="0.3">
      <c r="A18">
        <v>1002</v>
      </c>
      <c r="B18" s="1">
        <v>45076</v>
      </c>
      <c r="C18" t="s">
        <v>24</v>
      </c>
      <c r="D18" t="s">
        <v>15</v>
      </c>
      <c r="E18">
        <v>6810.35</v>
      </c>
      <c r="F18">
        <v>17</v>
      </c>
      <c r="G18" t="s">
        <v>16</v>
      </c>
      <c r="H18">
        <v>4024.76</v>
      </c>
      <c r="I18">
        <v>4420.1500000000015</v>
      </c>
      <c r="J18" t="s">
        <v>17</v>
      </c>
      <c r="K18">
        <v>0.04</v>
      </c>
      <c r="L18" t="s">
        <v>18</v>
      </c>
      <c r="M18" t="s">
        <v>19</v>
      </c>
      <c r="N18" t="s">
        <v>45</v>
      </c>
    </row>
    <row r="19" spans="1:14" x14ac:dyDescent="0.3">
      <c r="A19">
        <v>1088</v>
      </c>
      <c r="B19" s="1">
        <v>45203</v>
      </c>
      <c r="C19" t="s">
        <v>14</v>
      </c>
      <c r="D19" t="s">
        <v>34</v>
      </c>
      <c r="E19">
        <v>6116.75</v>
      </c>
      <c r="F19">
        <v>40</v>
      </c>
      <c r="G19" t="s">
        <v>35</v>
      </c>
      <c r="H19">
        <v>4904.93</v>
      </c>
      <c r="I19">
        <v>5034.3500000000004</v>
      </c>
      <c r="J19" t="s">
        <v>30</v>
      </c>
      <c r="K19">
        <v>0.1</v>
      </c>
      <c r="L19" t="s">
        <v>31</v>
      </c>
      <c r="M19" t="s">
        <v>22</v>
      </c>
      <c r="N19" t="s">
        <v>46</v>
      </c>
    </row>
    <row r="20" spans="1:14" x14ac:dyDescent="0.3">
      <c r="A20">
        <v>1030</v>
      </c>
      <c r="B20" s="1">
        <v>45124</v>
      </c>
      <c r="C20" t="s">
        <v>24</v>
      </c>
      <c r="D20" t="s">
        <v>21</v>
      </c>
      <c r="E20">
        <v>3023.48</v>
      </c>
      <c r="F20">
        <v>19</v>
      </c>
      <c r="G20" t="s">
        <v>29</v>
      </c>
      <c r="H20">
        <v>3049.33</v>
      </c>
      <c r="I20">
        <v>3209.22</v>
      </c>
      <c r="J20" t="s">
        <v>17</v>
      </c>
      <c r="K20">
        <v>0.26</v>
      </c>
      <c r="L20" t="s">
        <v>18</v>
      </c>
      <c r="M20" t="s">
        <v>19</v>
      </c>
      <c r="N20" t="s">
        <v>47</v>
      </c>
    </row>
    <row r="21" spans="1:14" x14ac:dyDescent="0.3">
      <c r="A21">
        <v>1038</v>
      </c>
      <c r="B21" s="1">
        <v>44996</v>
      </c>
      <c r="C21" t="s">
        <v>14</v>
      </c>
      <c r="D21" t="s">
        <v>25</v>
      </c>
      <c r="E21">
        <v>1452.35</v>
      </c>
      <c r="F21">
        <v>15</v>
      </c>
      <c r="G21" t="s">
        <v>29</v>
      </c>
      <c r="H21">
        <v>2543.36</v>
      </c>
      <c r="I21">
        <v>2790.1000000000004</v>
      </c>
      <c r="J21" t="s">
        <v>17</v>
      </c>
      <c r="K21">
        <v>7.0000000000000007E-2</v>
      </c>
      <c r="L21" t="s">
        <v>18</v>
      </c>
      <c r="M21" t="s">
        <v>19</v>
      </c>
      <c r="N21" t="s">
        <v>32</v>
      </c>
    </row>
    <row r="22" spans="1:14" x14ac:dyDescent="0.3">
      <c r="A22">
        <v>1002</v>
      </c>
      <c r="B22" s="1">
        <v>45038</v>
      </c>
      <c r="C22" t="s">
        <v>38</v>
      </c>
      <c r="D22" t="s">
        <v>15</v>
      </c>
      <c r="E22">
        <v>6551.23</v>
      </c>
      <c r="F22">
        <v>9</v>
      </c>
      <c r="G22" t="s">
        <v>35</v>
      </c>
      <c r="H22">
        <v>4398.16</v>
      </c>
      <c r="I22">
        <v>4439.12</v>
      </c>
      <c r="J22" t="s">
        <v>30</v>
      </c>
      <c r="K22">
        <v>0.18</v>
      </c>
      <c r="L22" t="s">
        <v>27</v>
      </c>
      <c r="M22" t="s">
        <v>19</v>
      </c>
      <c r="N22" t="s">
        <v>40</v>
      </c>
    </row>
    <row r="23" spans="1:14" x14ac:dyDescent="0.3">
      <c r="A23">
        <v>1064</v>
      </c>
      <c r="B23" s="1">
        <v>44930</v>
      </c>
      <c r="C23" t="s">
        <v>38</v>
      </c>
      <c r="D23" t="s">
        <v>34</v>
      </c>
      <c r="E23">
        <v>7412.11</v>
      </c>
      <c r="F23">
        <v>10</v>
      </c>
      <c r="G23" t="s">
        <v>35</v>
      </c>
      <c r="H23">
        <v>4764.96</v>
      </c>
      <c r="I23">
        <v>5074.42</v>
      </c>
      <c r="J23" t="s">
        <v>30</v>
      </c>
      <c r="K23">
        <v>0.12</v>
      </c>
      <c r="L23" t="s">
        <v>18</v>
      </c>
      <c r="M23" t="s">
        <v>19</v>
      </c>
      <c r="N23" t="s">
        <v>48</v>
      </c>
    </row>
    <row r="24" spans="1:14" x14ac:dyDescent="0.3">
      <c r="A24">
        <v>1060</v>
      </c>
      <c r="B24" s="1">
        <v>45276</v>
      </c>
      <c r="C24" t="s">
        <v>38</v>
      </c>
      <c r="D24" t="s">
        <v>34</v>
      </c>
      <c r="E24">
        <v>3224.71</v>
      </c>
      <c r="F24">
        <v>44</v>
      </c>
      <c r="G24" t="s">
        <v>29</v>
      </c>
      <c r="H24">
        <v>3784.96</v>
      </c>
      <c r="I24">
        <v>4276.99</v>
      </c>
      <c r="J24" t="s">
        <v>30</v>
      </c>
      <c r="K24">
        <v>0.06</v>
      </c>
      <c r="L24" t="s">
        <v>27</v>
      </c>
      <c r="M24" t="s">
        <v>22</v>
      </c>
      <c r="N24" t="s">
        <v>48</v>
      </c>
    </row>
    <row r="25" spans="1:14" x14ac:dyDescent="0.3">
      <c r="A25">
        <v>1021</v>
      </c>
      <c r="B25" s="1">
        <v>45257</v>
      </c>
      <c r="C25" t="s">
        <v>42</v>
      </c>
      <c r="D25" t="s">
        <v>25</v>
      </c>
      <c r="E25">
        <v>6483.84</v>
      </c>
      <c r="F25">
        <v>31</v>
      </c>
      <c r="G25" t="s">
        <v>16</v>
      </c>
      <c r="H25">
        <v>2254.9899999999998</v>
      </c>
      <c r="I25">
        <v>2441.79</v>
      </c>
      <c r="J25" t="s">
        <v>17</v>
      </c>
      <c r="K25">
        <v>0.24</v>
      </c>
      <c r="L25" t="s">
        <v>27</v>
      </c>
      <c r="M25" t="s">
        <v>19</v>
      </c>
      <c r="N25" t="s">
        <v>43</v>
      </c>
    </row>
    <row r="26" spans="1:14" x14ac:dyDescent="0.3">
      <c r="A26">
        <v>1033</v>
      </c>
      <c r="B26" s="1">
        <v>45244</v>
      </c>
      <c r="C26" t="s">
        <v>24</v>
      </c>
      <c r="D26" t="s">
        <v>25</v>
      </c>
      <c r="E26">
        <v>4011.8</v>
      </c>
      <c r="F26">
        <v>23</v>
      </c>
      <c r="G26" t="s">
        <v>16</v>
      </c>
      <c r="H26">
        <v>2981.5</v>
      </c>
      <c r="I26">
        <v>3360.4</v>
      </c>
      <c r="J26" t="s">
        <v>17</v>
      </c>
      <c r="K26">
        <v>0.22</v>
      </c>
      <c r="L26" t="s">
        <v>27</v>
      </c>
      <c r="M26" t="s">
        <v>22</v>
      </c>
      <c r="N26" t="s">
        <v>28</v>
      </c>
    </row>
    <row r="27" spans="1:14" x14ac:dyDescent="0.3">
      <c r="A27">
        <v>1076</v>
      </c>
      <c r="B27" s="1">
        <v>45276</v>
      </c>
      <c r="C27" t="s">
        <v>38</v>
      </c>
      <c r="D27" t="s">
        <v>34</v>
      </c>
      <c r="E27">
        <v>7160.75</v>
      </c>
      <c r="F27">
        <v>30</v>
      </c>
      <c r="G27" t="s">
        <v>29</v>
      </c>
      <c r="H27">
        <v>3519.63</v>
      </c>
      <c r="I27">
        <v>3774.65</v>
      </c>
      <c r="J27" t="s">
        <v>30</v>
      </c>
      <c r="K27">
        <v>0.2</v>
      </c>
      <c r="L27" t="s">
        <v>31</v>
      </c>
      <c r="M27" t="s">
        <v>22</v>
      </c>
      <c r="N27" t="s">
        <v>48</v>
      </c>
    </row>
    <row r="28" spans="1:14" x14ac:dyDescent="0.3">
      <c r="A28">
        <v>1058</v>
      </c>
      <c r="B28" s="1">
        <v>45021</v>
      </c>
      <c r="C28" t="s">
        <v>42</v>
      </c>
      <c r="D28" t="s">
        <v>15</v>
      </c>
      <c r="E28">
        <v>2072.23</v>
      </c>
      <c r="F28">
        <v>33</v>
      </c>
      <c r="G28" t="s">
        <v>16</v>
      </c>
      <c r="H28">
        <v>1011.65</v>
      </c>
      <c r="I28">
        <v>1084.28</v>
      </c>
      <c r="J28" t="s">
        <v>17</v>
      </c>
      <c r="K28">
        <v>7.0000000000000007E-2</v>
      </c>
      <c r="L28" t="s">
        <v>27</v>
      </c>
      <c r="M28" t="s">
        <v>22</v>
      </c>
      <c r="N28" t="s">
        <v>49</v>
      </c>
    </row>
    <row r="29" spans="1:14" x14ac:dyDescent="0.3">
      <c r="A29">
        <v>1022</v>
      </c>
      <c r="B29" s="1">
        <v>45078</v>
      </c>
      <c r="C29" t="s">
        <v>24</v>
      </c>
      <c r="D29" t="s">
        <v>34</v>
      </c>
      <c r="E29">
        <v>8913.1299999999992</v>
      </c>
      <c r="F29">
        <v>9</v>
      </c>
      <c r="G29" t="s">
        <v>35</v>
      </c>
      <c r="H29">
        <v>2263.65</v>
      </c>
      <c r="I29">
        <v>2558.9500000000003</v>
      </c>
      <c r="J29" t="s">
        <v>30</v>
      </c>
      <c r="K29">
        <v>0.03</v>
      </c>
      <c r="L29" t="s">
        <v>18</v>
      </c>
      <c r="M29" t="s">
        <v>19</v>
      </c>
      <c r="N29" t="s">
        <v>50</v>
      </c>
    </row>
    <row r="30" spans="1:14" x14ac:dyDescent="0.3">
      <c r="A30">
        <v>1089</v>
      </c>
      <c r="B30" s="1">
        <v>45237</v>
      </c>
      <c r="C30" t="s">
        <v>14</v>
      </c>
      <c r="D30" t="s">
        <v>21</v>
      </c>
      <c r="E30">
        <v>2945.36</v>
      </c>
      <c r="F30">
        <v>47</v>
      </c>
      <c r="G30" t="s">
        <v>16</v>
      </c>
      <c r="H30">
        <v>4157.62</v>
      </c>
      <c r="I30">
        <v>4314.5599999999995</v>
      </c>
      <c r="J30" t="s">
        <v>30</v>
      </c>
      <c r="K30">
        <v>0.17</v>
      </c>
      <c r="L30" t="s">
        <v>27</v>
      </c>
      <c r="M30" t="s">
        <v>22</v>
      </c>
      <c r="N30" t="s">
        <v>23</v>
      </c>
    </row>
    <row r="31" spans="1:14" x14ac:dyDescent="0.3">
      <c r="A31">
        <v>1049</v>
      </c>
      <c r="B31" s="1">
        <v>45063</v>
      </c>
      <c r="C31" t="s">
        <v>42</v>
      </c>
      <c r="D31" t="s">
        <v>21</v>
      </c>
      <c r="E31">
        <v>3741.08</v>
      </c>
      <c r="F31">
        <v>1</v>
      </c>
      <c r="G31" t="s">
        <v>16</v>
      </c>
      <c r="H31">
        <v>3290.89</v>
      </c>
      <c r="I31">
        <v>3317.75</v>
      </c>
      <c r="J31" t="s">
        <v>17</v>
      </c>
      <c r="K31">
        <v>0.17</v>
      </c>
      <c r="L31" t="s">
        <v>27</v>
      </c>
      <c r="M31" t="s">
        <v>19</v>
      </c>
      <c r="N31" t="s">
        <v>51</v>
      </c>
    </row>
    <row r="32" spans="1:14" x14ac:dyDescent="0.3">
      <c r="A32">
        <v>1091</v>
      </c>
      <c r="B32" s="1">
        <v>45173</v>
      </c>
      <c r="C32" t="s">
        <v>33</v>
      </c>
      <c r="D32" t="s">
        <v>25</v>
      </c>
      <c r="E32">
        <v>675.11</v>
      </c>
      <c r="F32">
        <v>44</v>
      </c>
      <c r="G32" t="s">
        <v>26</v>
      </c>
      <c r="H32">
        <v>2085.46</v>
      </c>
      <c r="I32">
        <v>2406.58</v>
      </c>
      <c r="J32" t="s">
        <v>17</v>
      </c>
      <c r="K32">
        <v>0.06</v>
      </c>
      <c r="L32" t="s">
        <v>27</v>
      </c>
      <c r="M32" t="s">
        <v>22</v>
      </c>
      <c r="N32" t="s">
        <v>44</v>
      </c>
    </row>
    <row r="33" spans="1:14" x14ac:dyDescent="0.3">
      <c r="A33">
        <v>1059</v>
      </c>
      <c r="B33" s="1">
        <v>45169</v>
      </c>
      <c r="C33" t="s">
        <v>42</v>
      </c>
      <c r="D33" t="s">
        <v>15</v>
      </c>
      <c r="E33">
        <v>1203.97</v>
      </c>
      <c r="F33">
        <v>35</v>
      </c>
      <c r="G33" t="s">
        <v>26</v>
      </c>
      <c r="H33">
        <v>3333.64</v>
      </c>
      <c r="I33">
        <v>3764.52</v>
      </c>
      <c r="J33" t="s">
        <v>17</v>
      </c>
      <c r="K33">
        <v>0.02</v>
      </c>
      <c r="L33" t="s">
        <v>31</v>
      </c>
      <c r="M33" t="s">
        <v>19</v>
      </c>
      <c r="N33" t="s">
        <v>49</v>
      </c>
    </row>
    <row r="34" spans="1:14" x14ac:dyDescent="0.3">
      <c r="A34">
        <v>1042</v>
      </c>
      <c r="B34" s="1">
        <v>44957</v>
      </c>
      <c r="C34" t="s">
        <v>42</v>
      </c>
      <c r="D34" t="s">
        <v>15</v>
      </c>
      <c r="E34">
        <v>5207.03</v>
      </c>
      <c r="F34">
        <v>11</v>
      </c>
      <c r="G34" t="s">
        <v>26</v>
      </c>
      <c r="H34">
        <v>635.20000000000005</v>
      </c>
      <c r="I34">
        <v>814.1400000000001</v>
      </c>
      <c r="J34" t="s">
        <v>17</v>
      </c>
      <c r="K34">
        <v>0.02</v>
      </c>
      <c r="L34" t="s">
        <v>18</v>
      </c>
      <c r="M34" t="s">
        <v>19</v>
      </c>
      <c r="N34" t="s">
        <v>49</v>
      </c>
    </row>
    <row r="35" spans="1:14" x14ac:dyDescent="0.3">
      <c r="A35">
        <v>1092</v>
      </c>
      <c r="B35" s="1">
        <v>44966</v>
      </c>
      <c r="C35" t="s">
        <v>24</v>
      </c>
      <c r="D35" t="s">
        <v>21</v>
      </c>
      <c r="E35">
        <v>2749.17</v>
      </c>
      <c r="F35">
        <v>34</v>
      </c>
      <c r="G35" t="s">
        <v>16</v>
      </c>
      <c r="H35">
        <v>2037.41</v>
      </c>
      <c r="I35">
        <v>2238.65</v>
      </c>
      <c r="J35" t="s">
        <v>30</v>
      </c>
      <c r="K35">
        <v>0.3</v>
      </c>
      <c r="L35" t="s">
        <v>31</v>
      </c>
      <c r="M35" t="s">
        <v>19</v>
      </c>
      <c r="N35" t="s">
        <v>47</v>
      </c>
    </row>
    <row r="36" spans="1:14" x14ac:dyDescent="0.3">
      <c r="A36">
        <v>1060</v>
      </c>
      <c r="B36" s="1">
        <v>45155</v>
      </c>
      <c r="C36" t="s">
        <v>14</v>
      </c>
      <c r="D36" t="s">
        <v>34</v>
      </c>
      <c r="E36">
        <v>8371.25</v>
      </c>
      <c r="F36">
        <v>16</v>
      </c>
      <c r="G36" t="s">
        <v>29</v>
      </c>
      <c r="H36">
        <v>3975.99</v>
      </c>
      <c r="I36">
        <v>4422.59</v>
      </c>
      <c r="J36" t="s">
        <v>30</v>
      </c>
      <c r="K36">
        <v>0.24</v>
      </c>
      <c r="L36" t="s">
        <v>18</v>
      </c>
      <c r="M36" t="s">
        <v>19</v>
      </c>
      <c r="N36" t="s">
        <v>46</v>
      </c>
    </row>
    <row r="37" spans="1:14" x14ac:dyDescent="0.3">
      <c r="A37">
        <v>1080</v>
      </c>
      <c r="B37" s="1">
        <v>44962</v>
      </c>
      <c r="C37" t="s">
        <v>33</v>
      </c>
      <c r="D37" t="s">
        <v>25</v>
      </c>
      <c r="E37">
        <v>245.46</v>
      </c>
      <c r="F37">
        <v>9</v>
      </c>
      <c r="G37" t="s">
        <v>35</v>
      </c>
      <c r="H37">
        <v>1141.52</v>
      </c>
      <c r="I37">
        <v>1550.19</v>
      </c>
      <c r="J37" t="s">
        <v>30</v>
      </c>
      <c r="K37">
        <v>0.28000000000000003</v>
      </c>
      <c r="L37" t="s">
        <v>31</v>
      </c>
      <c r="M37" t="s">
        <v>22</v>
      </c>
      <c r="N37" t="s">
        <v>44</v>
      </c>
    </row>
    <row r="38" spans="1:14" x14ac:dyDescent="0.3">
      <c r="A38">
        <v>1015</v>
      </c>
      <c r="B38" s="1">
        <v>45149</v>
      </c>
      <c r="C38" t="s">
        <v>38</v>
      </c>
      <c r="D38" t="s">
        <v>34</v>
      </c>
      <c r="E38">
        <v>3853.03</v>
      </c>
      <c r="F38">
        <v>32</v>
      </c>
      <c r="G38" t="s">
        <v>16</v>
      </c>
      <c r="H38">
        <v>970.51</v>
      </c>
      <c r="I38">
        <v>1330.84</v>
      </c>
      <c r="J38" t="s">
        <v>17</v>
      </c>
      <c r="K38">
        <v>0.06</v>
      </c>
      <c r="L38" t="s">
        <v>18</v>
      </c>
      <c r="M38" t="s">
        <v>22</v>
      </c>
      <c r="N38" t="s">
        <v>48</v>
      </c>
    </row>
    <row r="39" spans="1:14" x14ac:dyDescent="0.3">
      <c r="A39">
        <v>1062</v>
      </c>
      <c r="B39" s="1">
        <v>44932</v>
      </c>
      <c r="C39" t="s">
        <v>38</v>
      </c>
      <c r="D39" t="s">
        <v>34</v>
      </c>
      <c r="E39">
        <v>3439.72</v>
      </c>
      <c r="F39">
        <v>15</v>
      </c>
      <c r="G39" t="s">
        <v>29</v>
      </c>
      <c r="H39">
        <v>4756.55</v>
      </c>
      <c r="I39">
        <v>4888.46</v>
      </c>
      <c r="J39" t="s">
        <v>30</v>
      </c>
      <c r="K39">
        <v>0.28999999999999998</v>
      </c>
      <c r="L39" t="s">
        <v>31</v>
      </c>
      <c r="M39" t="s">
        <v>19</v>
      </c>
      <c r="N39" t="s">
        <v>48</v>
      </c>
    </row>
    <row r="40" spans="1:14" x14ac:dyDescent="0.3">
      <c r="A40">
        <v>1062</v>
      </c>
      <c r="B40" s="1">
        <v>45248</v>
      </c>
      <c r="C40" t="s">
        <v>42</v>
      </c>
      <c r="D40" t="s">
        <v>34</v>
      </c>
      <c r="E40">
        <v>291.33999999999997</v>
      </c>
      <c r="F40">
        <v>12</v>
      </c>
      <c r="G40" t="s">
        <v>16</v>
      </c>
      <c r="H40">
        <v>1088.99</v>
      </c>
      <c r="I40">
        <v>1545</v>
      </c>
      <c r="J40" t="s">
        <v>17</v>
      </c>
      <c r="K40">
        <v>0.04</v>
      </c>
      <c r="L40" t="s">
        <v>27</v>
      </c>
      <c r="M40" t="s">
        <v>22</v>
      </c>
      <c r="N40" t="s">
        <v>52</v>
      </c>
    </row>
    <row r="41" spans="1:14" x14ac:dyDescent="0.3">
      <c r="A41">
        <v>1047</v>
      </c>
      <c r="B41" s="1">
        <v>45146</v>
      </c>
      <c r="C41" t="s">
        <v>24</v>
      </c>
      <c r="D41" t="s">
        <v>15</v>
      </c>
      <c r="E41">
        <v>1331.25</v>
      </c>
      <c r="F41">
        <v>33</v>
      </c>
      <c r="G41" t="s">
        <v>35</v>
      </c>
      <c r="H41">
        <v>1341.55</v>
      </c>
      <c r="I41">
        <v>1427.21</v>
      </c>
      <c r="J41" t="s">
        <v>17</v>
      </c>
      <c r="K41">
        <v>0.15</v>
      </c>
      <c r="L41" t="s">
        <v>31</v>
      </c>
      <c r="M41" t="s">
        <v>19</v>
      </c>
      <c r="N41" t="s">
        <v>45</v>
      </c>
    </row>
    <row r="42" spans="1:14" x14ac:dyDescent="0.3">
      <c r="A42">
        <v>1062</v>
      </c>
      <c r="B42" s="1">
        <v>45001</v>
      </c>
      <c r="C42" t="s">
        <v>24</v>
      </c>
      <c r="D42" t="s">
        <v>21</v>
      </c>
      <c r="E42">
        <v>4195.0600000000004</v>
      </c>
      <c r="F42">
        <v>45</v>
      </c>
      <c r="G42" t="s">
        <v>16</v>
      </c>
      <c r="H42">
        <v>4849.6000000000004</v>
      </c>
      <c r="I42">
        <v>5166.72</v>
      </c>
      <c r="J42" t="s">
        <v>17</v>
      </c>
      <c r="K42">
        <v>0.25</v>
      </c>
      <c r="L42" t="s">
        <v>31</v>
      </c>
      <c r="M42" t="s">
        <v>19</v>
      </c>
      <c r="N42" t="s">
        <v>47</v>
      </c>
    </row>
    <row r="43" spans="1:14" x14ac:dyDescent="0.3">
      <c r="A43">
        <v>1051</v>
      </c>
      <c r="B43" s="1">
        <v>44930</v>
      </c>
      <c r="C43" t="s">
        <v>38</v>
      </c>
      <c r="D43" t="s">
        <v>15</v>
      </c>
      <c r="E43">
        <v>4979.3599999999997</v>
      </c>
      <c r="F43">
        <v>14</v>
      </c>
      <c r="G43" t="s">
        <v>35</v>
      </c>
      <c r="H43">
        <v>3686.81</v>
      </c>
      <c r="I43">
        <v>3710.92</v>
      </c>
      <c r="J43" t="s">
        <v>30</v>
      </c>
      <c r="K43">
        <v>0.1</v>
      </c>
      <c r="L43" t="s">
        <v>27</v>
      </c>
      <c r="M43" t="s">
        <v>22</v>
      </c>
      <c r="N43" t="s">
        <v>40</v>
      </c>
    </row>
    <row r="44" spans="1:14" x14ac:dyDescent="0.3">
      <c r="A44">
        <v>1055</v>
      </c>
      <c r="B44" s="1">
        <v>45261</v>
      </c>
      <c r="C44" t="s">
        <v>33</v>
      </c>
      <c r="D44" t="s">
        <v>21</v>
      </c>
      <c r="E44">
        <v>4102.47</v>
      </c>
      <c r="F44">
        <v>8</v>
      </c>
      <c r="G44" t="s">
        <v>16</v>
      </c>
      <c r="H44">
        <v>3513</v>
      </c>
      <c r="I44">
        <v>3838.42</v>
      </c>
      <c r="J44" t="s">
        <v>17</v>
      </c>
      <c r="K44">
        <v>0.13</v>
      </c>
      <c r="L44" t="s">
        <v>27</v>
      </c>
      <c r="M44" t="s">
        <v>19</v>
      </c>
      <c r="N44" t="s">
        <v>37</v>
      </c>
    </row>
    <row r="45" spans="1:14" x14ac:dyDescent="0.3">
      <c r="A45">
        <v>1064</v>
      </c>
      <c r="B45" s="1">
        <v>45060</v>
      </c>
      <c r="C45" t="s">
        <v>14</v>
      </c>
      <c r="D45" t="s">
        <v>25</v>
      </c>
      <c r="E45">
        <v>5356.28</v>
      </c>
      <c r="F45">
        <v>8</v>
      </c>
      <c r="G45" t="s">
        <v>35</v>
      </c>
      <c r="H45">
        <v>4271.99</v>
      </c>
      <c r="I45">
        <v>4417.79</v>
      </c>
      <c r="J45" t="s">
        <v>17</v>
      </c>
      <c r="K45">
        <v>0.04</v>
      </c>
      <c r="L45" t="s">
        <v>18</v>
      </c>
      <c r="M45" t="s">
        <v>19</v>
      </c>
      <c r="N45" t="s">
        <v>32</v>
      </c>
    </row>
    <row r="46" spans="1:14" x14ac:dyDescent="0.3">
      <c r="A46">
        <v>1003</v>
      </c>
      <c r="B46" s="1">
        <v>45044</v>
      </c>
      <c r="C46" t="s">
        <v>33</v>
      </c>
      <c r="D46" t="s">
        <v>25</v>
      </c>
      <c r="E46">
        <v>5991.8</v>
      </c>
      <c r="F46">
        <v>27</v>
      </c>
      <c r="G46" t="s">
        <v>16</v>
      </c>
      <c r="H46">
        <v>623.32000000000005</v>
      </c>
      <c r="I46">
        <v>853.66000000000008</v>
      </c>
      <c r="J46" t="s">
        <v>17</v>
      </c>
      <c r="K46">
        <v>0.04</v>
      </c>
      <c r="L46" t="s">
        <v>18</v>
      </c>
      <c r="M46" t="s">
        <v>19</v>
      </c>
      <c r="N46" t="s">
        <v>44</v>
      </c>
    </row>
    <row r="47" spans="1:14" x14ac:dyDescent="0.3">
      <c r="A47">
        <v>1051</v>
      </c>
      <c r="B47" s="1">
        <v>45020</v>
      </c>
      <c r="C47" t="s">
        <v>14</v>
      </c>
      <c r="D47" t="s">
        <v>34</v>
      </c>
      <c r="E47">
        <v>198.25</v>
      </c>
      <c r="F47">
        <v>12</v>
      </c>
      <c r="G47" t="s">
        <v>35</v>
      </c>
      <c r="H47">
        <v>3544.48</v>
      </c>
      <c r="I47">
        <v>3723.66</v>
      </c>
      <c r="J47" t="s">
        <v>17</v>
      </c>
      <c r="K47">
        <v>0.19</v>
      </c>
      <c r="L47" t="s">
        <v>18</v>
      </c>
      <c r="M47" t="s">
        <v>19</v>
      </c>
      <c r="N47" t="s">
        <v>46</v>
      </c>
    </row>
    <row r="48" spans="1:14" x14ac:dyDescent="0.3">
      <c r="A48">
        <v>1007</v>
      </c>
      <c r="B48" s="1">
        <v>44988</v>
      </c>
      <c r="C48" t="s">
        <v>38</v>
      </c>
      <c r="D48" t="s">
        <v>21</v>
      </c>
      <c r="E48">
        <v>4694.54</v>
      </c>
      <c r="F48">
        <v>1</v>
      </c>
      <c r="G48" t="s">
        <v>26</v>
      </c>
      <c r="H48">
        <v>2543.2600000000002</v>
      </c>
      <c r="I48">
        <v>2637.9100000000003</v>
      </c>
      <c r="J48" t="s">
        <v>17</v>
      </c>
      <c r="K48">
        <v>0.2</v>
      </c>
      <c r="L48" t="s">
        <v>31</v>
      </c>
      <c r="M48" t="s">
        <v>19</v>
      </c>
      <c r="N48" t="s">
        <v>41</v>
      </c>
    </row>
    <row r="49" spans="1:14" x14ac:dyDescent="0.3">
      <c r="A49">
        <v>1021</v>
      </c>
      <c r="B49" s="1">
        <v>45120</v>
      </c>
      <c r="C49" t="s">
        <v>14</v>
      </c>
      <c r="D49" t="s">
        <v>21</v>
      </c>
      <c r="E49">
        <v>9638.64</v>
      </c>
      <c r="F49">
        <v>43</v>
      </c>
      <c r="G49" t="s">
        <v>16</v>
      </c>
      <c r="H49">
        <v>4154.3</v>
      </c>
      <c r="I49">
        <v>4469.07</v>
      </c>
      <c r="J49" t="s">
        <v>17</v>
      </c>
      <c r="K49">
        <v>0.23</v>
      </c>
      <c r="L49" t="s">
        <v>18</v>
      </c>
      <c r="M49" t="s">
        <v>22</v>
      </c>
      <c r="N49" t="s">
        <v>23</v>
      </c>
    </row>
    <row r="50" spans="1:14" x14ac:dyDescent="0.3">
      <c r="A50">
        <v>1073</v>
      </c>
      <c r="B50" s="1">
        <v>45261</v>
      </c>
      <c r="C50" t="s">
        <v>24</v>
      </c>
      <c r="D50" t="s">
        <v>21</v>
      </c>
      <c r="E50">
        <v>5238.42</v>
      </c>
      <c r="F50">
        <v>40</v>
      </c>
      <c r="G50" t="s">
        <v>16</v>
      </c>
      <c r="H50">
        <v>2565.3000000000002</v>
      </c>
      <c r="I50">
        <v>3007.4700000000003</v>
      </c>
      <c r="J50" t="s">
        <v>17</v>
      </c>
      <c r="K50">
        <v>0.17</v>
      </c>
      <c r="L50" t="s">
        <v>31</v>
      </c>
      <c r="M50" t="s">
        <v>22</v>
      </c>
      <c r="N50" t="s">
        <v>47</v>
      </c>
    </row>
    <row r="51" spans="1:14" x14ac:dyDescent="0.3">
      <c r="A51">
        <v>1039</v>
      </c>
      <c r="B51" s="1">
        <v>45129</v>
      </c>
      <c r="C51" t="s">
        <v>42</v>
      </c>
      <c r="D51" t="s">
        <v>34</v>
      </c>
      <c r="E51">
        <v>6807.67</v>
      </c>
      <c r="F51">
        <v>42</v>
      </c>
      <c r="G51" t="s">
        <v>29</v>
      </c>
      <c r="H51">
        <v>3120.19</v>
      </c>
      <c r="I51">
        <v>3600.14</v>
      </c>
      <c r="J51" t="s">
        <v>17</v>
      </c>
      <c r="K51">
        <v>0.19</v>
      </c>
      <c r="L51" t="s">
        <v>31</v>
      </c>
      <c r="M51" t="s">
        <v>22</v>
      </c>
      <c r="N51" t="s">
        <v>52</v>
      </c>
    </row>
    <row r="52" spans="1:14" x14ac:dyDescent="0.3">
      <c r="A52">
        <v>1018</v>
      </c>
      <c r="B52" s="1">
        <v>44952</v>
      </c>
      <c r="C52" t="s">
        <v>42</v>
      </c>
      <c r="D52" t="s">
        <v>34</v>
      </c>
      <c r="E52">
        <v>3187.45</v>
      </c>
      <c r="F52">
        <v>11</v>
      </c>
      <c r="G52" t="s">
        <v>29</v>
      </c>
      <c r="H52">
        <v>2414.8200000000002</v>
      </c>
      <c r="I52">
        <v>2519.0700000000002</v>
      </c>
      <c r="J52" t="s">
        <v>17</v>
      </c>
      <c r="K52">
        <v>0</v>
      </c>
      <c r="L52" t="s">
        <v>18</v>
      </c>
      <c r="M52" t="s">
        <v>19</v>
      </c>
      <c r="N52" t="s">
        <v>52</v>
      </c>
    </row>
    <row r="53" spans="1:14" x14ac:dyDescent="0.3">
      <c r="A53">
        <v>1004</v>
      </c>
      <c r="B53" s="1">
        <v>45099</v>
      </c>
      <c r="C53" t="s">
        <v>38</v>
      </c>
      <c r="D53" t="s">
        <v>25</v>
      </c>
      <c r="E53">
        <v>7762.51</v>
      </c>
      <c r="F53">
        <v>39</v>
      </c>
      <c r="G53" t="s">
        <v>35</v>
      </c>
      <c r="H53">
        <v>2416.89</v>
      </c>
      <c r="I53">
        <v>2778.3999999999996</v>
      </c>
      <c r="J53" t="s">
        <v>17</v>
      </c>
      <c r="K53">
        <v>0.05</v>
      </c>
      <c r="L53" t="s">
        <v>18</v>
      </c>
      <c r="M53" t="s">
        <v>19</v>
      </c>
      <c r="N53" t="s">
        <v>39</v>
      </c>
    </row>
    <row r="54" spans="1:14" x14ac:dyDescent="0.3">
      <c r="A54">
        <v>1089</v>
      </c>
      <c r="B54" s="1">
        <v>45226</v>
      </c>
      <c r="C54" t="s">
        <v>24</v>
      </c>
      <c r="D54" t="s">
        <v>15</v>
      </c>
      <c r="E54">
        <v>7751.92</v>
      </c>
      <c r="F54">
        <v>43</v>
      </c>
      <c r="G54" t="s">
        <v>16</v>
      </c>
      <c r="H54">
        <v>3851.45</v>
      </c>
      <c r="I54">
        <v>4186.9799999999996</v>
      </c>
      <c r="J54" t="s">
        <v>17</v>
      </c>
      <c r="K54">
        <v>0.3</v>
      </c>
      <c r="L54" t="s">
        <v>31</v>
      </c>
      <c r="M54" t="s">
        <v>19</v>
      </c>
      <c r="N54" t="s">
        <v>45</v>
      </c>
    </row>
    <row r="55" spans="1:14" x14ac:dyDescent="0.3">
      <c r="A55">
        <v>1060</v>
      </c>
      <c r="B55" s="1">
        <v>45059</v>
      </c>
      <c r="C55" t="s">
        <v>33</v>
      </c>
      <c r="D55" t="s">
        <v>21</v>
      </c>
      <c r="E55">
        <v>5260.83</v>
      </c>
      <c r="F55">
        <v>31</v>
      </c>
      <c r="G55" t="s">
        <v>35</v>
      </c>
      <c r="H55">
        <v>3161.4</v>
      </c>
      <c r="I55">
        <v>3339.66</v>
      </c>
      <c r="J55" t="s">
        <v>17</v>
      </c>
      <c r="K55">
        <v>0.02</v>
      </c>
      <c r="L55" t="s">
        <v>27</v>
      </c>
      <c r="M55" t="s">
        <v>19</v>
      </c>
      <c r="N55" t="s">
        <v>37</v>
      </c>
    </row>
    <row r="56" spans="1:14" x14ac:dyDescent="0.3">
      <c r="A56">
        <v>1014</v>
      </c>
      <c r="B56" s="1">
        <v>45252</v>
      </c>
      <c r="C56" t="s">
        <v>24</v>
      </c>
      <c r="D56" t="s">
        <v>21</v>
      </c>
      <c r="E56">
        <v>9762.5400000000009</v>
      </c>
      <c r="F56">
        <v>17</v>
      </c>
      <c r="G56" t="s">
        <v>26</v>
      </c>
      <c r="H56">
        <v>3184.65</v>
      </c>
      <c r="I56">
        <v>3204.01</v>
      </c>
      <c r="J56" t="s">
        <v>30</v>
      </c>
      <c r="K56">
        <v>0.2</v>
      </c>
      <c r="L56" t="s">
        <v>27</v>
      </c>
      <c r="M56" t="s">
        <v>19</v>
      </c>
      <c r="N56" t="s">
        <v>47</v>
      </c>
    </row>
    <row r="57" spans="1:14" x14ac:dyDescent="0.3">
      <c r="A57">
        <v>1009</v>
      </c>
      <c r="B57" s="1">
        <v>45044</v>
      </c>
      <c r="C57" t="s">
        <v>42</v>
      </c>
      <c r="D57" t="s">
        <v>15</v>
      </c>
      <c r="E57">
        <v>1342.95</v>
      </c>
      <c r="F57">
        <v>33</v>
      </c>
      <c r="G57" t="s">
        <v>29</v>
      </c>
      <c r="H57">
        <v>2278.9</v>
      </c>
      <c r="I57">
        <v>2626.9</v>
      </c>
      <c r="J57" t="s">
        <v>30</v>
      </c>
      <c r="K57">
        <v>0.05</v>
      </c>
      <c r="L57" t="s">
        <v>31</v>
      </c>
      <c r="M57" t="s">
        <v>19</v>
      </c>
      <c r="N57" t="s">
        <v>49</v>
      </c>
    </row>
    <row r="58" spans="1:14" x14ac:dyDescent="0.3">
      <c r="A58">
        <v>1090</v>
      </c>
      <c r="B58" s="1">
        <v>45250</v>
      </c>
      <c r="C58" t="s">
        <v>42</v>
      </c>
      <c r="D58" t="s">
        <v>21</v>
      </c>
      <c r="E58">
        <v>267.77999999999997</v>
      </c>
      <c r="F58">
        <v>32</v>
      </c>
      <c r="G58" t="s">
        <v>35</v>
      </c>
      <c r="H58">
        <v>2678.99</v>
      </c>
      <c r="I58">
        <v>3152.2799999999997</v>
      </c>
      <c r="J58" t="s">
        <v>17</v>
      </c>
      <c r="K58">
        <v>0.22</v>
      </c>
      <c r="L58" t="s">
        <v>18</v>
      </c>
      <c r="M58" t="s">
        <v>22</v>
      </c>
      <c r="N58" t="s">
        <v>51</v>
      </c>
    </row>
    <row r="59" spans="1:14" x14ac:dyDescent="0.3">
      <c r="A59">
        <v>1053</v>
      </c>
      <c r="B59" s="1">
        <v>45201</v>
      </c>
      <c r="C59" t="s">
        <v>24</v>
      </c>
      <c r="D59" t="s">
        <v>34</v>
      </c>
      <c r="E59">
        <v>7724.57</v>
      </c>
      <c r="F59">
        <v>29</v>
      </c>
      <c r="G59" t="s">
        <v>35</v>
      </c>
      <c r="H59">
        <v>3741.3</v>
      </c>
      <c r="I59">
        <v>4061.04</v>
      </c>
      <c r="J59" t="s">
        <v>17</v>
      </c>
      <c r="K59">
        <v>0.21</v>
      </c>
      <c r="L59" t="s">
        <v>31</v>
      </c>
      <c r="M59" t="s">
        <v>19</v>
      </c>
      <c r="N59" t="s">
        <v>50</v>
      </c>
    </row>
    <row r="60" spans="1:14" x14ac:dyDescent="0.3">
      <c r="A60">
        <v>1002</v>
      </c>
      <c r="B60" s="1">
        <v>45138</v>
      </c>
      <c r="C60" t="s">
        <v>24</v>
      </c>
      <c r="D60" t="s">
        <v>34</v>
      </c>
      <c r="E60">
        <v>8090.84</v>
      </c>
      <c r="F60">
        <v>21</v>
      </c>
      <c r="G60" t="s">
        <v>29</v>
      </c>
      <c r="H60">
        <v>4138.41</v>
      </c>
      <c r="I60">
        <v>4361.7</v>
      </c>
      <c r="J60" t="s">
        <v>17</v>
      </c>
      <c r="K60">
        <v>7.0000000000000007E-2</v>
      </c>
      <c r="L60" t="s">
        <v>31</v>
      </c>
      <c r="M60" t="s">
        <v>22</v>
      </c>
      <c r="N60" t="s">
        <v>50</v>
      </c>
    </row>
    <row r="61" spans="1:14" x14ac:dyDescent="0.3">
      <c r="A61">
        <v>1084</v>
      </c>
      <c r="B61" s="1">
        <v>45151</v>
      </c>
      <c r="C61" t="s">
        <v>42</v>
      </c>
      <c r="D61" t="s">
        <v>21</v>
      </c>
      <c r="E61">
        <v>1290.05</v>
      </c>
      <c r="F61">
        <v>21</v>
      </c>
      <c r="G61" t="s">
        <v>16</v>
      </c>
      <c r="H61">
        <v>3497.98</v>
      </c>
      <c r="I61">
        <v>3765.31</v>
      </c>
      <c r="J61" t="s">
        <v>30</v>
      </c>
      <c r="K61">
        <v>0.08</v>
      </c>
      <c r="L61" t="s">
        <v>18</v>
      </c>
      <c r="M61" t="s">
        <v>19</v>
      </c>
      <c r="N61" t="s">
        <v>51</v>
      </c>
    </row>
    <row r="62" spans="1:14" x14ac:dyDescent="0.3">
      <c r="A62">
        <v>1092</v>
      </c>
      <c r="B62" s="1">
        <v>44946</v>
      </c>
      <c r="C62" t="s">
        <v>33</v>
      </c>
      <c r="D62" t="s">
        <v>34</v>
      </c>
      <c r="E62">
        <v>2729.27</v>
      </c>
      <c r="F62">
        <v>40</v>
      </c>
      <c r="G62" t="s">
        <v>35</v>
      </c>
      <c r="H62">
        <v>4624.16</v>
      </c>
      <c r="I62">
        <v>4731.9799999999996</v>
      </c>
      <c r="J62" t="s">
        <v>30</v>
      </c>
      <c r="K62">
        <v>0.2</v>
      </c>
      <c r="L62" t="s">
        <v>27</v>
      </c>
      <c r="M62" t="s">
        <v>22</v>
      </c>
      <c r="N62" t="s">
        <v>36</v>
      </c>
    </row>
    <row r="63" spans="1:14" x14ac:dyDescent="0.3">
      <c r="A63">
        <v>1060</v>
      </c>
      <c r="B63" s="1">
        <v>45039</v>
      </c>
      <c r="C63" t="s">
        <v>38</v>
      </c>
      <c r="D63" t="s">
        <v>34</v>
      </c>
      <c r="E63">
        <v>273.77</v>
      </c>
      <c r="F63">
        <v>23</v>
      </c>
      <c r="G63" t="s">
        <v>29</v>
      </c>
      <c r="H63">
        <v>4110.6000000000004</v>
      </c>
      <c r="I63">
        <v>4488.3700000000008</v>
      </c>
      <c r="J63" t="s">
        <v>30</v>
      </c>
      <c r="K63">
        <v>0.12</v>
      </c>
      <c r="L63" t="s">
        <v>31</v>
      </c>
      <c r="M63" t="s">
        <v>19</v>
      </c>
      <c r="N63" t="s">
        <v>48</v>
      </c>
    </row>
    <row r="64" spans="1:14" x14ac:dyDescent="0.3">
      <c r="A64">
        <v>1071</v>
      </c>
      <c r="B64" s="1">
        <v>45066</v>
      </c>
      <c r="C64" t="s">
        <v>38</v>
      </c>
      <c r="D64" t="s">
        <v>21</v>
      </c>
      <c r="E64">
        <v>3003.76</v>
      </c>
      <c r="F64">
        <v>6</v>
      </c>
      <c r="G64" t="s">
        <v>16</v>
      </c>
      <c r="H64">
        <v>2831.23</v>
      </c>
      <c r="I64">
        <v>3206.98</v>
      </c>
      <c r="J64" t="s">
        <v>17</v>
      </c>
      <c r="K64">
        <v>0.06</v>
      </c>
      <c r="L64" t="s">
        <v>27</v>
      </c>
      <c r="M64" t="s">
        <v>22</v>
      </c>
      <c r="N64" t="s">
        <v>41</v>
      </c>
    </row>
    <row r="65" spans="1:14" x14ac:dyDescent="0.3">
      <c r="A65">
        <v>1044</v>
      </c>
      <c r="B65" s="1">
        <v>44973</v>
      </c>
      <c r="C65" t="s">
        <v>24</v>
      </c>
      <c r="D65" t="s">
        <v>25</v>
      </c>
      <c r="E65">
        <v>7754.1</v>
      </c>
      <c r="F65">
        <v>22</v>
      </c>
      <c r="G65" t="s">
        <v>26</v>
      </c>
      <c r="H65">
        <v>3373.46</v>
      </c>
      <c r="I65">
        <v>3454.76</v>
      </c>
      <c r="J65" t="s">
        <v>17</v>
      </c>
      <c r="K65">
        <v>0.22</v>
      </c>
      <c r="L65" t="s">
        <v>27</v>
      </c>
      <c r="M65" t="s">
        <v>22</v>
      </c>
      <c r="N65" t="s">
        <v>28</v>
      </c>
    </row>
    <row r="66" spans="1:14" x14ac:dyDescent="0.3">
      <c r="A66">
        <v>1008</v>
      </c>
      <c r="B66" s="1">
        <v>44927</v>
      </c>
      <c r="C66" t="s">
        <v>38</v>
      </c>
      <c r="D66" t="s">
        <v>15</v>
      </c>
      <c r="E66">
        <v>5227.8100000000004</v>
      </c>
      <c r="F66">
        <v>38</v>
      </c>
      <c r="G66" t="s">
        <v>29</v>
      </c>
      <c r="H66">
        <v>4635.2299999999996</v>
      </c>
      <c r="I66">
        <v>5075.4399999999996</v>
      </c>
      <c r="J66" t="s">
        <v>17</v>
      </c>
      <c r="K66">
        <v>0.05</v>
      </c>
      <c r="L66" t="s">
        <v>18</v>
      </c>
      <c r="M66" t="s">
        <v>19</v>
      </c>
      <c r="N66" t="s">
        <v>40</v>
      </c>
    </row>
    <row r="67" spans="1:14" x14ac:dyDescent="0.3">
      <c r="A67">
        <v>1047</v>
      </c>
      <c r="B67" s="1">
        <v>45016</v>
      </c>
      <c r="C67" t="s">
        <v>42</v>
      </c>
      <c r="D67" t="s">
        <v>34</v>
      </c>
      <c r="E67">
        <v>3546.15</v>
      </c>
      <c r="F67">
        <v>37</v>
      </c>
      <c r="G67" t="s">
        <v>35</v>
      </c>
      <c r="H67">
        <v>3114.88</v>
      </c>
      <c r="I67">
        <v>3256.78</v>
      </c>
      <c r="J67" t="s">
        <v>17</v>
      </c>
      <c r="K67">
        <v>0.26</v>
      </c>
      <c r="L67" t="s">
        <v>31</v>
      </c>
      <c r="M67" t="s">
        <v>19</v>
      </c>
      <c r="N67" t="s">
        <v>52</v>
      </c>
    </row>
    <row r="68" spans="1:14" x14ac:dyDescent="0.3">
      <c r="A68">
        <v>1035</v>
      </c>
      <c r="B68" s="1">
        <v>45068</v>
      </c>
      <c r="C68" t="s">
        <v>42</v>
      </c>
      <c r="D68" t="s">
        <v>25</v>
      </c>
      <c r="E68">
        <v>3780.22</v>
      </c>
      <c r="F68">
        <v>45</v>
      </c>
      <c r="G68" t="s">
        <v>26</v>
      </c>
      <c r="H68">
        <v>4132.79</v>
      </c>
      <c r="I68">
        <v>4624.1000000000004</v>
      </c>
      <c r="J68" t="s">
        <v>30</v>
      </c>
      <c r="K68">
        <v>0.15</v>
      </c>
      <c r="L68" t="s">
        <v>31</v>
      </c>
      <c r="M68" t="s">
        <v>22</v>
      </c>
      <c r="N68" t="s">
        <v>43</v>
      </c>
    </row>
    <row r="69" spans="1:14" x14ac:dyDescent="0.3">
      <c r="A69">
        <v>1078</v>
      </c>
      <c r="B69" s="1">
        <v>45246</v>
      </c>
      <c r="C69" t="s">
        <v>24</v>
      </c>
      <c r="D69" t="s">
        <v>34</v>
      </c>
      <c r="E69">
        <v>113.4</v>
      </c>
      <c r="F69">
        <v>8</v>
      </c>
      <c r="G69" t="s">
        <v>16</v>
      </c>
      <c r="H69">
        <v>3459.61</v>
      </c>
      <c r="I69">
        <v>3657.23</v>
      </c>
      <c r="J69" t="s">
        <v>17</v>
      </c>
      <c r="K69">
        <v>0.03</v>
      </c>
      <c r="L69" t="s">
        <v>27</v>
      </c>
      <c r="M69" t="s">
        <v>19</v>
      </c>
      <c r="N69" t="s">
        <v>50</v>
      </c>
    </row>
    <row r="70" spans="1:14" x14ac:dyDescent="0.3">
      <c r="A70">
        <v>1081</v>
      </c>
      <c r="B70" s="1">
        <v>44964</v>
      </c>
      <c r="C70" t="s">
        <v>24</v>
      </c>
      <c r="D70" t="s">
        <v>34</v>
      </c>
      <c r="E70">
        <v>3068.03</v>
      </c>
      <c r="F70">
        <v>41</v>
      </c>
      <c r="G70" t="s">
        <v>16</v>
      </c>
      <c r="H70">
        <v>2782.08</v>
      </c>
      <c r="I70">
        <v>2879.24</v>
      </c>
      <c r="J70" t="s">
        <v>30</v>
      </c>
      <c r="K70">
        <v>0.21</v>
      </c>
      <c r="L70" t="s">
        <v>27</v>
      </c>
      <c r="M70" t="s">
        <v>19</v>
      </c>
      <c r="N70" t="s">
        <v>50</v>
      </c>
    </row>
    <row r="71" spans="1:14" x14ac:dyDescent="0.3">
      <c r="A71">
        <v>1036</v>
      </c>
      <c r="B71" s="1">
        <v>45219</v>
      </c>
      <c r="C71" t="s">
        <v>24</v>
      </c>
      <c r="D71" t="s">
        <v>15</v>
      </c>
      <c r="E71">
        <v>6499.94</v>
      </c>
      <c r="F71">
        <v>49</v>
      </c>
      <c r="G71" t="s">
        <v>29</v>
      </c>
      <c r="H71">
        <v>1247.0999999999999</v>
      </c>
      <c r="I71">
        <v>1429.4399999999998</v>
      </c>
      <c r="J71" t="s">
        <v>30</v>
      </c>
      <c r="K71">
        <v>0.16</v>
      </c>
      <c r="L71" t="s">
        <v>18</v>
      </c>
      <c r="M71" t="s">
        <v>19</v>
      </c>
      <c r="N71" t="s">
        <v>45</v>
      </c>
    </row>
    <row r="72" spans="1:14" x14ac:dyDescent="0.3">
      <c r="A72">
        <v>1050</v>
      </c>
      <c r="B72" s="1">
        <v>45065</v>
      </c>
      <c r="C72" t="s">
        <v>33</v>
      </c>
      <c r="D72" t="s">
        <v>34</v>
      </c>
      <c r="E72">
        <v>9744.52</v>
      </c>
      <c r="F72">
        <v>35</v>
      </c>
      <c r="G72" t="s">
        <v>29</v>
      </c>
      <c r="H72">
        <v>2158.69</v>
      </c>
      <c r="I72">
        <v>2384.38</v>
      </c>
      <c r="J72" t="s">
        <v>17</v>
      </c>
      <c r="K72">
        <v>0.09</v>
      </c>
      <c r="L72" t="s">
        <v>27</v>
      </c>
      <c r="M72" t="s">
        <v>22</v>
      </c>
      <c r="N72" t="s">
        <v>36</v>
      </c>
    </row>
    <row r="73" spans="1:14" x14ac:dyDescent="0.3">
      <c r="A73">
        <v>1004</v>
      </c>
      <c r="B73" s="1">
        <v>45282</v>
      </c>
      <c r="C73" t="s">
        <v>38</v>
      </c>
      <c r="D73" t="s">
        <v>15</v>
      </c>
      <c r="E73">
        <v>8485.9</v>
      </c>
      <c r="F73">
        <v>11</v>
      </c>
      <c r="G73" t="s">
        <v>29</v>
      </c>
      <c r="H73">
        <v>4840.33</v>
      </c>
      <c r="I73">
        <v>4884.29</v>
      </c>
      <c r="J73" t="s">
        <v>30</v>
      </c>
      <c r="K73">
        <v>0.13</v>
      </c>
      <c r="L73" t="s">
        <v>18</v>
      </c>
      <c r="M73" t="s">
        <v>19</v>
      </c>
      <c r="N73" t="s">
        <v>40</v>
      </c>
    </row>
    <row r="74" spans="1:14" x14ac:dyDescent="0.3">
      <c r="A74">
        <v>1002</v>
      </c>
      <c r="B74" s="1">
        <v>45259</v>
      </c>
      <c r="C74" t="s">
        <v>24</v>
      </c>
      <c r="D74" t="s">
        <v>15</v>
      </c>
      <c r="E74">
        <v>333.59</v>
      </c>
      <c r="F74">
        <v>24</v>
      </c>
      <c r="G74" t="s">
        <v>16</v>
      </c>
      <c r="H74">
        <v>3305.94</v>
      </c>
      <c r="I74">
        <v>3599.27</v>
      </c>
      <c r="J74" t="s">
        <v>30</v>
      </c>
      <c r="K74">
        <v>0.09</v>
      </c>
      <c r="L74" t="s">
        <v>31</v>
      </c>
      <c r="M74" t="s">
        <v>22</v>
      </c>
      <c r="N74" t="s">
        <v>45</v>
      </c>
    </row>
    <row r="75" spans="1:14" x14ac:dyDescent="0.3">
      <c r="A75">
        <v>1006</v>
      </c>
      <c r="B75" s="1">
        <v>45185</v>
      </c>
      <c r="C75" t="s">
        <v>14</v>
      </c>
      <c r="D75" t="s">
        <v>15</v>
      </c>
      <c r="E75">
        <v>8995.75</v>
      </c>
      <c r="F75">
        <v>49</v>
      </c>
      <c r="G75" t="s">
        <v>26</v>
      </c>
      <c r="H75">
        <v>2843.76</v>
      </c>
      <c r="I75">
        <v>3146.6000000000004</v>
      </c>
      <c r="J75" t="s">
        <v>30</v>
      </c>
      <c r="K75">
        <v>0.08</v>
      </c>
      <c r="L75" t="s">
        <v>18</v>
      </c>
      <c r="M75" t="s">
        <v>22</v>
      </c>
      <c r="N75" t="s">
        <v>20</v>
      </c>
    </row>
    <row r="76" spans="1:14" x14ac:dyDescent="0.3">
      <c r="A76">
        <v>1054</v>
      </c>
      <c r="B76" s="1">
        <v>45087</v>
      </c>
      <c r="C76" t="s">
        <v>14</v>
      </c>
      <c r="D76" t="s">
        <v>25</v>
      </c>
      <c r="E76">
        <v>7853.66</v>
      </c>
      <c r="F76">
        <v>21</v>
      </c>
      <c r="G76" t="s">
        <v>16</v>
      </c>
      <c r="H76">
        <v>4668.1400000000003</v>
      </c>
      <c r="I76">
        <v>5040.22</v>
      </c>
      <c r="J76" t="s">
        <v>30</v>
      </c>
      <c r="K76">
        <v>0.05</v>
      </c>
      <c r="L76" t="s">
        <v>27</v>
      </c>
      <c r="M76" t="s">
        <v>19</v>
      </c>
      <c r="N76" t="s">
        <v>32</v>
      </c>
    </row>
    <row r="77" spans="1:14" x14ac:dyDescent="0.3">
      <c r="A77">
        <v>1004</v>
      </c>
      <c r="B77" s="1">
        <v>45104</v>
      </c>
      <c r="C77" t="s">
        <v>42</v>
      </c>
      <c r="D77" t="s">
        <v>21</v>
      </c>
      <c r="E77">
        <v>7825.72</v>
      </c>
      <c r="F77">
        <v>2</v>
      </c>
      <c r="G77" t="s">
        <v>35</v>
      </c>
      <c r="H77">
        <v>2953.23</v>
      </c>
      <c r="I77">
        <v>2977.52</v>
      </c>
      <c r="J77" t="s">
        <v>17</v>
      </c>
      <c r="K77">
        <v>0.11</v>
      </c>
      <c r="L77" t="s">
        <v>31</v>
      </c>
      <c r="M77" t="s">
        <v>22</v>
      </c>
      <c r="N77" t="s">
        <v>51</v>
      </c>
    </row>
    <row r="78" spans="1:14" x14ac:dyDescent="0.3">
      <c r="A78">
        <v>1054</v>
      </c>
      <c r="B78" s="1">
        <v>44936</v>
      </c>
      <c r="C78" t="s">
        <v>38</v>
      </c>
      <c r="D78" t="s">
        <v>25</v>
      </c>
      <c r="E78">
        <v>4634.16</v>
      </c>
      <c r="F78">
        <v>40</v>
      </c>
      <c r="G78" t="s">
        <v>16</v>
      </c>
      <c r="H78">
        <v>2654.11</v>
      </c>
      <c r="I78">
        <v>2929.32</v>
      </c>
      <c r="J78" t="s">
        <v>17</v>
      </c>
      <c r="K78">
        <v>0.08</v>
      </c>
      <c r="L78" t="s">
        <v>18</v>
      </c>
      <c r="M78" t="s">
        <v>19</v>
      </c>
      <c r="N78" t="s">
        <v>39</v>
      </c>
    </row>
    <row r="79" spans="1:14" x14ac:dyDescent="0.3">
      <c r="A79">
        <v>1093</v>
      </c>
      <c r="B79" s="1">
        <v>45187</v>
      </c>
      <c r="C79" t="s">
        <v>24</v>
      </c>
      <c r="D79" t="s">
        <v>21</v>
      </c>
      <c r="E79">
        <v>4040.25</v>
      </c>
      <c r="F79">
        <v>19</v>
      </c>
      <c r="G79" t="s">
        <v>35</v>
      </c>
      <c r="H79">
        <v>3808.59</v>
      </c>
      <c r="I79">
        <v>3844.51</v>
      </c>
      <c r="J79" t="s">
        <v>30</v>
      </c>
      <c r="K79">
        <v>0.21</v>
      </c>
      <c r="L79" t="s">
        <v>31</v>
      </c>
      <c r="M79" t="s">
        <v>19</v>
      </c>
      <c r="N79" t="s">
        <v>47</v>
      </c>
    </row>
    <row r="80" spans="1:14" x14ac:dyDescent="0.3">
      <c r="A80">
        <v>1063</v>
      </c>
      <c r="B80" s="1">
        <v>45064</v>
      </c>
      <c r="C80" t="s">
        <v>14</v>
      </c>
      <c r="D80" t="s">
        <v>21</v>
      </c>
      <c r="E80">
        <v>3098.87</v>
      </c>
      <c r="F80">
        <v>39</v>
      </c>
      <c r="G80" t="s">
        <v>26</v>
      </c>
      <c r="H80">
        <v>3577.69</v>
      </c>
      <c r="I80">
        <v>3931.25</v>
      </c>
      <c r="J80" t="s">
        <v>17</v>
      </c>
      <c r="K80">
        <v>0.21</v>
      </c>
      <c r="L80" t="s">
        <v>18</v>
      </c>
      <c r="M80" t="s">
        <v>22</v>
      </c>
      <c r="N80" t="s">
        <v>23</v>
      </c>
    </row>
    <row r="81" spans="1:14" x14ac:dyDescent="0.3">
      <c r="A81">
        <v>1018</v>
      </c>
      <c r="B81" s="1">
        <v>45098</v>
      </c>
      <c r="C81" t="s">
        <v>38</v>
      </c>
      <c r="D81" t="s">
        <v>15</v>
      </c>
      <c r="E81">
        <v>750.38</v>
      </c>
      <c r="F81">
        <v>28</v>
      </c>
      <c r="G81" t="s">
        <v>29</v>
      </c>
      <c r="H81">
        <v>1006.14</v>
      </c>
      <c r="I81">
        <v>1043.45</v>
      </c>
      <c r="J81" t="s">
        <v>30</v>
      </c>
      <c r="K81">
        <v>0.15</v>
      </c>
      <c r="L81" t="s">
        <v>27</v>
      </c>
      <c r="M81" t="s">
        <v>22</v>
      </c>
      <c r="N81" t="s">
        <v>40</v>
      </c>
    </row>
    <row r="82" spans="1:14" x14ac:dyDescent="0.3">
      <c r="A82">
        <v>1090</v>
      </c>
      <c r="B82" s="1">
        <v>44939</v>
      </c>
      <c r="C82" t="s">
        <v>42</v>
      </c>
      <c r="D82" t="s">
        <v>34</v>
      </c>
      <c r="E82">
        <v>2359.5300000000002</v>
      </c>
      <c r="F82">
        <v>17</v>
      </c>
      <c r="G82" t="s">
        <v>29</v>
      </c>
      <c r="H82">
        <v>2382.98</v>
      </c>
      <c r="I82">
        <v>2839.73</v>
      </c>
      <c r="J82" t="s">
        <v>17</v>
      </c>
      <c r="K82">
        <v>0.23</v>
      </c>
      <c r="L82" t="s">
        <v>27</v>
      </c>
      <c r="M82" t="s">
        <v>22</v>
      </c>
      <c r="N82" t="s">
        <v>52</v>
      </c>
    </row>
    <row r="83" spans="1:14" x14ac:dyDescent="0.3">
      <c r="A83">
        <v>1044</v>
      </c>
      <c r="B83" s="1">
        <v>45094</v>
      </c>
      <c r="C83" t="s">
        <v>33</v>
      </c>
      <c r="D83" t="s">
        <v>15</v>
      </c>
      <c r="E83">
        <v>2541.38</v>
      </c>
      <c r="F83">
        <v>6</v>
      </c>
      <c r="G83" t="s">
        <v>16</v>
      </c>
      <c r="H83">
        <v>2388.9499999999998</v>
      </c>
      <c r="I83">
        <v>2742.97</v>
      </c>
      <c r="J83" t="s">
        <v>17</v>
      </c>
      <c r="K83">
        <v>0.25</v>
      </c>
      <c r="L83" t="s">
        <v>31</v>
      </c>
      <c r="M83" t="s">
        <v>22</v>
      </c>
      <c r="N83" t="s">
        <v>53</v>
      </c>
    </row>
    <row r="84" spans="1:14" x14ac:dyDescent="0.3">
      <c r="A84">
        <v>1034</v>
      </c>
      <c r="B84" s="1">
        <v>45056</v>
      </c>
      <c r="C84" t="s">
        <v>38</v>
      </c>
      <c r="D84" t="s">
        <v>34</v>
      </c>
      <c r="E84">
        <v>4892.3599999999997</v>
      </c>
      <c r="F84">
        <v>19</v>
      </c>
      <c r="G84" t="s">
        <v>29</v>
      </c>
      <c r="H84">
        <v>1922.21</v>
      </c>
      <c r="I84">
        <v>2180.83</v>
      </c>
      <c r="J84" t="s">
        <v>17</v>
      </c>
      <c r="K84">
        <v>0.17</v>
      </c>
      <c r="L84" t="s">
        <v>31</v>
      </c>
      <c r="M84" t="s">
        <v>22</v>
      </c>
      <c r="N84" t="s">
        <v>48</v>
      </c>
    </row>
    <row r="85" spans="1:14" x14ac:dyDescent="0.3">
      <c r="A85">
        <v>1074</v>
      </c>
      <c r="B85" s="1">
        <v>45010</v>
      </c>
      <c r="C85" t="s">
        <v>38</v>
      </c>
      <c r="D85" t="s">
        <v>21</v>
      </c>
      <c r="E85">
        <v>7499.7</v>
      </c>
      <c r="F85">
        <v>38</v>
      </c>
      <c r="G85" t="s">
        <v>26</v>
      </c>
      <c r="H85">
        <v>2610.6</v>
      </c>
      <c r="I85">
        <v>2836.94</v>
      </c>
      <c r="J85" t="s">
        <v>17</v>
      </c>
      <c r="K85">
        <v>0.19</v>
      </c>
      <c r="L85" t="s">
        <v>31</v>
      </c>
      <c r="M85" t="s">
        <v>19</v>
      </c>
      <c r="N85" t="s">
        <v>41</v>
      </c>
    </row>
    <row r="86" spans="1:14" x14ac:dyDescent="0.3">
      <c r="A86">
        <v>1062</v>
      </c>
      <c r="B86" s="1">
        <v>45247</v>
      </c>
      <c r="C86" t="s">
        <v>33</v>
      </c>
      <c r="D86" t="s">
        <v>15</v>
      </c>
      <c r="E86">
        <v>4790.72</v>
      </c>
      <c r="F86">
        <v>28</v>
      </c>
      <c r="G86" t="s">
        <v>29</v>
      </c>
      <c r="H86">
        <v>2094.88</v>
      </c>
      <c r="I86">
        <v>2168.9100000000003</v>
      </c>
      <c r="J86" t="s">
        <v>17</v>
      </c>
      <c r="K86">
        <v>0.08</v>
      </c>
      <c r="L86" t="s">
        <v>18</v>
      </c>
      <c r="M86" t="s">
        <v>22</v>
      </c>
      <c r="N86" t="s">
        <v>53</v>
      </c>
    </row>
    <row r="87" spans="1:14" x14ac:dyDescent="0.3">
      <c r="A87">
        <v>1100</v>
      </c>
      <c r="B87" s="1">
        <v>45245</v>
      </c>
      <c r="C87" t="s">
        <v>38</v>
      </c>
      <c r="D87" t="s">
        <v>34</v>
      </c>
      <c r="E87">
        <v>672.66</v>
      </c>
      <c r="F87">
        <v>2</v>
      </c>
      <c r="G87" t="s">
        <v>16</v>
      </c>
      <c r="H87">
        <v>1036.76</v>
      </c>
      <c r="I87">
        <v>1189.3499999999999</v>
      </c>
      <c r="J87" t="s">
        <v>30</v>
      </c>
      <c r="K87">
        <v>0.27</v>
      </c>
      <c r="L87" t="s">
        <v>27</v>
      </c>
      <c r="M87" t="s">
        <v>19</v>
      </c>
      <c r="N87" t="s">
        <v>48</v>
      </c>
    </row>
    <row r="88" spans="1:14" x14ac:dyDescent="0.3">
      <c r="A88">
        <v>1014</v>
      </c>
      <c r="B88" s="1">
        <v>45027</v>
      </c>
      <c r="C88" t="s">
        <v>42</v>
      </c>
      <c r="D88" t="s">
        <v>25</v>
      </c>
      <c r="E88">
        <v>9582.1200000000008</v>
      </c>
      <c r="F88">
        <v>38</v>
      </c>
      <c r="G88" t="s">
        <v>26</v>
      </c>
      <c r="H88">
        <v>2091.21</v>
      </c>
      <c r="I88">
        <v>2527</v>
      </c>
      <c r="J88" t="s">
        <v>17</v>
      </c>
      <c r="K88">
        <v>0.01</v>
      </c>
      <c r="L88" t="s">
        <v>31</v>
      </c>
      <c r="M88" t="s">
        <v>19</v>
      </c>
      <c r="N88" t="s">
        <v>43</v>
      </c>
    </row>
    <row r="89" spans="1:14" x14ac:dyDescent="0.3">
      <c r="A89">
        <v>1095</v>
      </c>
      <c r="B89" s="1">
        <v>45255</v>
      </c>
      <c r="C89" t="s">
        <v>42</v>
      </c>
      <c r="D89" t="s">
        <v>34</v>
      </c>
      <c r="E89">
        <v>9432.9699999999993</v>
      </c>
      <c r="F89">
        <v>37</v>
      </c>
      <c r="G89" t="s">
        <v>35</v>
      </c>
      <c r="H89">
        <v>407.77</v>
      </c>
      <c r="I89">
        <v>860.95</v>
      </c>
      <c r="J89" t="s">
        <v>30</v>
      </c>
      <c r="K89">
        <v>0.1</v>
      </c>
      <c r="L89" t="s">
        <v>31</v>
      </c>
      <c r="M89" t="s">
        <v>22</v>
      </c>
      <c r="N89" t="s">
        <v>52</v>
      </c>
    </row>
    <row r="90" spans="1:14" x14ac:dyDescent="0.3">
      <c r="A90">
        <v>1048</v>
      </c>
      <c r="B90" s="1">
        <v>45199</v>
      </c>
      <c r="C90" t="s">
        <v>33</v>
      </c>
      <c r="D90" t="s">
        <v>15</v>
      </c>
      <c r="E90">
        <v>7873.38</v>
      </c>
      <c r="F90">
        <v>4</v>
      </c>
      <c r="G90" t="s">
        <v>16</v>
      </c>
      <c r="H90">
        <v>2900.14</v>
      </c>
      <c r="I90">
        <v>2910.5099999999998</v>
      </c>
      <c r="J90" t="s">
        <v>30</v>
      </c>
      <c r="K90">
        <v>0.22</v>
      </c>
      <c r="L90" t="s">
        <v>31</v>
      </c>
      <c r="M90" t="s">
        <v>22</v>
      </c>
      <c r="N90" t="s">
        <v>53</v>
      </c>
    </row>
    <row r="91" spans="1:14" x14ac:dyDescent="0.3">
      <c r="A91">
        <v>1015</v>
      </c>
      <c r="B91" s="1">
        <v>45191</v>
      </c>
      <c r="C91" t="s">
        <v>24</v>
      </c>
      <c r="D91" t="s">
        <v>25</v>
      </c>
      <c r="E91">
        <v>9914.15</v>
      </c>
      <c r="F91">
        <v>22</v>
      </c>
      <c r="G91" t="s">
        <v>35</v>
      </c>
      <c r="H91">
        <v>4275.59</v>
      </c>
      <c r="I91">
        <v>4576.72</v>
      </c>
      <c r="J91" t="s">
        <v>17</v>
      </c>
      <c r="K91">
        <v>0.02</v>
      </c>
      <c r="L91" t="s">
        <v>18</v>
      </c>
      <c r="M91" t="s">
        <v>22</v>
      </c>
      <c r="N91" t="s">
        <v>28</v>
      </c>
    </row>
    <row r="92" spans="1:14" x14ac:dyDescent="0.3">
      <c r="A92">
        <v>1072</v>
      </c>
      <c r="B92" s="1">
        <v>44964</v>
      </c>
      <c r="C92" t="s">
        <v>14</v>
      </c>
      <c r="D92" t="s">
        <v>34</v>
      </c>
      <c r="E92">
        <v>5490.38</v>
      </c>
      <c r="F92">
        <v>26</v>
      </c>
      <c r="G92" t="s">
        <v>26</v>
      </c>
      <c r="H92">
        <v>3640.17</v>
      </c>
      <c r="I92">
        <v>4002.63</v>
      </c>
      <c r="J92" t="s">
        <v>30</v>
      </c>
      <c r="K92">
        <v>0.05</v>
      </c>
      <c r="L92" t="s">
        <v>31</v>
      </c>
      <c r="M92" t="s">
        <v>22</v>
      </c>
      <c r="N92" t="s">
        <v>46</v>
      </c>
    </row>
    <row r="93" spans="1:14" x14ac:dyDescent="0.3">
      <c r="A93">
        <v>1078</v>
      </c>
      <c r="B93" s="1">
        <v>45020</v>
      </c>
      <c r="C93" t="s">
        <v>24</v>
      </c>
      <c r="D93" t="s">
        <v>34</v>
      </c>
      <c r="E93">
        <v>9631.41</v>
      </c>
      <c r="F93">
        <v>49</v>
      </c>
      <c r="G93" t="s">
        <v>16</v>
      </c>
      <c r="H93">
        <v>1833.95</v>
      </c>
      <c r="I93">
        <v>2147.14</v>
      </c>
      <c r="J93" t="s">
        <v>17</v>
      </c>
      <c r="K93">
        <v>0.18</v>
      </c>
      <c r="L93" t="s">
        <v>31</v>
      </c>
      <c r="M93" t="s">
        <v>22</v>
      </c>
      <c r="N93" t="s">
        <v>50</v>
      </c>
    </row>
    <row r="94" spans="1:14" x14ac:dyDescent="0.3">
      <c r="A94">
        <v>1087</v>
      </c>
      <c r="B94" s="1">
        <v>45021</v>
      </c>
      <c r="C94" t="s">
        <v>38</v>
      </c>
      <c r="D94" t="s">
        <v>34</v>
      </c>
      <c r="E94">
        <v>848.49</v>
      </c>
      <c r="F94">
        <v>43</v>
      </c>
      <c r="G94" t="s">
        <v>16</v>
      </c>
      <c r="H94">
        <v>481</v>
      </c>
      <c r="I94">
        <v>531.02</v>
      </c>
      <c r="J94" t="s">
        <v>30</v>
      </c>
      <c r="K94">
        <v>0.17</v>
      </c>
      <c r="L94" t="s">
        <v>18</v>
      </c>
      <c r="M94" t="s">
        <v>19</v>
      </c>
      <c r="N94" t="s">
        <v>48</v>
      </c>
    </row>
    <row r="95" spans="1:14" x14ac:dyDescent="0.3">
      <c r="A95">
        <v>1062</v>
      </c>
      <c r="B95" s="1">
        <v>45231</v>
      </c>
      <c r="C95" t="s">
        <v>14</v>
      </c>
      <c r="D95" t="s">
        <v>34</v>
      </c>
      <c r="E95">
        <v>3720.24</v>
      </c>
      <c r="F95">
        <v>36</v>
      </c>
      <c r="G95" t="s">
        <v>26</v>
      </c>
      <c r="H95">
        <v>1050.6400000000001</v>
      </c>
      <c r="I95">
        <v>1167.3300000000002</v>
      </c>
      <c r="J95" t="s">
        <v>30</v>
      </c>
      <c r="K95">
        <v>0.22</v>
      </c>
      <c r="L95" t="s">
        <v>18</v>
      </c>
      <c r="M95" t="s">
        <v>19</v>
      </c>
      <c r="N95" t="s">
        <v>46</v>
      </c>
    </row>
    <row r="96" spans="1:14" x14ac:dyDescent="0.3">
      <c r="A96">
        <v>1040</v>
      </c>
      <c r="B96" s="1">
        <v>44995</v>
      </c>
      <c r="C96" t="s">
        <v>33</v>
      </c>
      <c r="D96" t="s">
        <v>34</v>
      </c>
      <c r="E96">
        <v>2331.27</v>
      </c>
      <c r="F96">
        <v>13</v>
      </c>
      <c r="G96" t="s">
        <v>29</v>
      </c>
      <c r="H96">
        <v>2750.18</v>
      </c>
      <c r="I96">
        <v>2882.85</v>
      </c>
      <c r="J96" t="s">
        <v>17</v>
      </c>
      <c r="K96">
        <v>0.24</v>
      </c>
      <c r="L96" t="s">
        <v>31</v>
      </c>
      <c r="M96" t="s">
        <v>19</v>
      </c>
      <c r="N96" t="s">
        <v>36</v>
      </c>
    </row>
    <row r="97" spans="1:14" x14ac:dyDescent="0.3">
      <c r="A97">
        <v>1085</v>
      </c>
      <c r="B97" s="1">
        <v>45244</v>
      </c>
      <c r="C97" t="s">
        <v>33</v>
      </c>
      <c r="D97" t="s">
        <v>25</v>
      </c>
      <c r="E97">
        <v>2038.75</v>
      </c>
      <c r="F97">
        <v>32</v>
      </c>
      <c r="G97" t="s">
        <v>16</v>
      </c>
      <c r="H97">
        <v>1074.93</v>
      </c>
      <c r="I97">
        <v>1492.48</v>
      </c>
      <c r="J97" t="s">
        <v>17</v>
      </c>
      <c r="K97">
        <v>0.04</v>
      </c>
      <c r="L97" t="s">
        <v>31</v>
      </c>
      <c r="M97" t="s">
        <v>22</v>
      </c>
      <c r="N97" t="s">
        <v>44</v>
      </c>
    </row>
    <row r="98" spans="1:14" x14ac:dyDescent="0.3">
      <c r="A98">
        <v>1080</v>
      </c>
      <c r="B98" s="1">
        <v>45162</v>
      </c>
      <c r="C98" t="s">
        <v>14</v>
      </c>
      <c r="D98" t="s">
        <v>21</v>
      </c>
      <c r="E98">
        <v>1493.95</v>
      </c>
      <c r="F98">
        <v>17</v>
      </c>
      <c r="G98" t="s">
        <v>16</v>
      </c>
      <c r="H98">
        <v>2742.67</v>
      </c>
      <c r="I98">
        <v>2979.64</v>
      </c>
      <c r="J98" t="s">
        <v>17</v>
      </c>
      <c r="K98">
        <v>0.01</v>
      </c>
      <c r="L98" t="s">
        <v>18</v>
      </c>
      <c r="M98" t="s">
        <v>22</v>
      </c>
      <c r="N98" t="s">
        <v>23</v>
      </c>
    </row>
    <row r="99" spans="1:14" x14ac:dyDescent="0.3">
      <c r="A99">
        <v>1082</v>
      </c>
      <c r="B99" s="1">
        <v>45260</v>
      </c>
      <c r="C99" t="s">
        <v>42</v>
      </c>
      <c r="D99" t="s">
        <v>25</v>
      </c>
      <c r="E99">
        <v>6261.9</v>
      </c>
      <c r="F99">
        <v>41</v>
      </c>
      <c r="G99" t="s">
        <v>35</v>
      </c>
      <c r="H99">
        <v>1196.42</v>
      </c>
      <c r="I99">
        <v>1444.97</v>
      </c>
      <c r="J99" t="s">
        <v>17</v>
      </c>
      <c r="K99">
        <v>0.21</v>
      </c>
      <c r="L99" t="s">
        <v>27</v>
      </c>
      <c r="M99" t="s">
        <v>19</v>
      </c>
      <c r="N99" t="s">
        <v>43</v>
      </c>
    </row>
    <row r="100" spans="1:14" x14ac:dyDescent="0.3">
      <c r="A100">
        <v>1053</v>
      </c>
      <c r="B100" s="1">
        <v>45063</v>
      </c>
      <c r="C100" t="s">
        <v>14</v>
      </c>
      <c r="D100" t="s">
        <v>25</v>
      </c>
      <c r="E100">
        <v>7835.09</v>
      </c>
      <c r="F100">
        <v>36</v>
      </c>
      <c r="G100" t="s">
        <v>29</v>
      </c>
      <c r="H100">
        <v>4252.17</v>
      </c>
      <c r="I100">
        <v>4720.2700000000004</v>
      </c>
      <c r="J100" t="s">
        <v>30</v>
      </c>
      <c r="K100">
        <v>0.09</v>
      </c>
      <c r="L100" t="s">
        <v>18</v>
      </c>
      <c r="M100" t="s">
        <v>22</v>
      </c>
      <c r="N100" t="s">
        <v>32</v>
      </c>
    </row>
    <row r="101" spans="1:14" x14ac:dyDescent="0.3">
      <c r="A101">
        <v>1024</v>
      </c>
      <c r="B101" s="1">
        <v>45002</v>
      </c>
      <c r="C101" t="s">
        <v>38</v>
      </c>
      <c r="D101" t="s">
        <v>25</v>
      </c>
      <c r="E101">
        <v>5825.15</v>
      </c>
      <c r="F101">
        <v>46</v>
      </c>
      <c r="G101" t="s">
        <v>35</v>
      </c>
      <c r="H101">
        <v>2016.49</v>
      </c>
      <c r="I101">
        <v>2338.66</v>
      </c>
      <c r="J101" t="s">
        <v>17</v>
      </c>
      <c r="K101">
        <v>0.19</v>
      </c>
      <c r="L101" t="s">
        <v>27</v>
      </c>
      <c r="M101" t="s">
        <v>22</v>
      </c>
      <c r="N101" t="s">
        <v>39</v>
      </c>
    </row>
    <row r="102" spans="1:14" x14ac:dyDescent="0.3">
      <c r="A102">
        <v>1026</v>
      </c>
      <c r="B102" s="1">
        <v>44961</v>
      </c>
      <c r="C102" t="s">
        <v>42</v>
      </c>
      <c r="D102" t="s">
        <v>21</v>
      </c>
      <c r="E102">
        <v>1554.93</v>
      </c>
      <c r="F102">
        <v>19</v>
      </c>
      <c r="G102" t="s">
        <v>35</v>
      </c>
      <c r="H102">
        <v>1265.48</v>
      </c>
      <c r="I102">
        <v>1715.83</v>
      </c>
      <c r="J102" t="s">
        <v>30</v>
      </c>
      <c r="K102">
        <v>0.05</v>
      </c>
      <c r="L102" t="s">
        <v>31</v>
      </c>
      <c r="M102" t="s">
        <v>22</v>
      </c>
      <c r="N102" t="s">
        <v>51</v>
      </c>
    </row>
    <row r="103" spans="1:14" x14ac:dyDescent="0.3">
      <c r="A103">
        <v>1089</v>
      </c>
      <c r="B103" s="1">
        <v>44927</v>
      </c>
      <c r="C103" t="s">
        <v>33</v>
      </c>
      <c r="D103" t="s">
        <v>15</v>
      </c>
      <c r="E103">
        <v>8130.13</v>
      </c>
      <c r="F103">
        <v>35</v>
      </c>
      <c r="G103" t="s">
        <v>29</v>
      </c>
      <c r="H103">
        <v>4071.01</v>
      </c>
      <c r="I103">
        <v>4304.7</v>
      </c>
      <c r="J103" t="s">
        <v>30</v>
      </c>
      <c r="K103">
        <v>0.14000000000000001</v>
      </c>
      <c r="L103" t="s">
        <v>31</v>
      </c>
      <c r="M103" t="s">
        <v>19</v>
      </c>
      <c r="N103" t="s">
        <v>53</v>
      </c>
    </row>
    <row r="104" spans="1:14" x14ac:dyDescent="0.3">
      <c r="A104">
        <v>1060</v>
      </c>
      <c r="B104" s="1">
        <v>45222</v>
      </c>
      <c r="C104" t="s">
        <v>14</v>
      </c>
      <c r="D104" t="s">
        <v>21</v>
      </c>
      <c r="E104">
        <v>6395.95</v>
      </c>
      <c r="F104">
        <v>46</v>
      </c>
      <c r="G104" t="s">
        <v>29</v>
      </c>
      <c r="H104">
        <v>1747.05</v>
      </c>
      <c r="I104">
        <v>1830.27</v>
      </c>
      <c r="J104" t="s">
        <v>30</v>
      </c>
      <c r="K104">
        <v>0.15</v>
      </c>
      <c r="L104" t="s">
        <v>27</v>
      </c>
      <c r="M104" t="s">
        <v>22</v>
      </c>
      <c r="N104" t="s">
        <v>23</v>
      </c>
    </row>
    <row r="105" spans="1:14" x14ac:dyDescent="0.3">
      <c r="A105">
        <v>1041</v>
      </c>
      <c r="B105" s="1">
        <v>45246</v>
      </c>
      <c r="C105" t="s">
        <v>24</v>
      </c>
      <c r="D105" t="s">
        <v>25</v>
      </c>
      <c r="E105">
        <v>3942.84</v>
      </c>
      <c r="F105">
        <v>40</v>
      </c>
      <c r="G105" t="s">
        <v>26</v>
      </c>
      <c r="H105">
        <v>601.86</v>
      </c>
      <c r="I105">
        <v>1067.53</v>
      </c>
      <c r="J105" t="s">
        <v>30</v>
      </c>
      <c r="K105">
        <v>0.18</v>
      </c>
      <c r="L105" t="s">
        <v>18</v>
      </c>
      <c r="M105" t="s">
        <v>19</v>
      </c>
      <c r="N105" t="s">
        <v>28</v>
      </c>
    </row>
    <row r="106" spans="1:14" x14ac:dyDescent="0.3">
      <c r="A106">
        <v>1029</v>
      </c>
      <c r="B106" s="1">
        <v>44986</v>
      </c>
      <c r="C106" t="s">
        <v>24</v>
      </c>
      <c r="D106" t="s">
        <v>34</v>
      </c>
      <c r="E106">
        <v>6773.89</v>
      </c>
      <c r="F106">
        <v>28</v>
      </c>
      <c r="G106" t="s">
        <v>29</v>
      </c>
      <c r="H106">
        <v>2873.53</v>
      </c>
      <c r="I106">
        <v>3108.3</v>
      </c>
      <c r="J106" t="s">
        <v>30</v>
      </c>
      <c r="K106">
        <v>0.15</v>
      </c>
      <c r="L106" t="s">
        <v>31</v>
      </c>
      <c r="M106" t="s">
        <v>22</v>
      </c>
      <c r="N106" t="s">
        <v>50</v>
      </c>
    </row>
    <row r="107" spans="1:14" x14ac:dyDescent="0.3">
      <c r="A107">
        <v>1015</v>
      </c>
      <c r="B107" s="1">
        <v>45246</v>
      </c>
      <c r="C107" t="s">
        <v>38</v>
      </c>
      <c r="D107" t="s">
        <v>34</v>
      </c>
      <c r="E107">
        <v>2673.06</v>
      </c>
      <c r="F107">
        <v>1</v>
      </c>
      <c r="G107" t="s">
        <v>16</v>
      </c>
      <c r="H107">
        <v>2928.74</v>
      </c>
      <c r="I107">
        <v>3027.74</v>
      </c>
      <c r="J107" t="s">
        <v>30</v>
      </c>
      <c r="K107">
        <v>0.15</v>
      </c>
      <c r="L107" t="s">
        <v>27</v>
      </c>
      <c r="M107" t="s">
        <v>22</v>
      </c>
      <c r="N107" t="s">
        <v>48</v>
      </c>
    </row>
    <row r="108" spans="1:14" x14ac:dyDescent="0.3">
      <c r="A108">
        <v>1045</v>
      </c>
      <c r="B108" s="1">
        <v>45275</v>
      </c>
      <c r="C108" t="s">
        <v>24</v>
      </c>
      <c r="D108" t="s">
        <v>25</v>
      </c>
      <c r="E108">
        <v>3517.4</v>
      </c>
      <c r="F108">
        <v>42</v>
      </c>
      <c r="G108" t="s">
        <v>29</v>
      </c>
      <c r="H108">
        <v>3587.74</v>
      </c>
      <c r="I108">
        <v>3745.91</v>
      </c>
      <c r="J108" t="s">
        <v>17</v>
      </c>
      <c r="K108">
        <v>0.1</v>
      </c>
      <c r="L108" t="s">
        <v>18</v>
      </c>
      <c r="M108" t="s">
        <v>19</v>
      </c>
      <c r="N108" t="s">
        <v>28</v>
      </c>
    </row>
    <row r="109" spans="1:14" x14ac:dyDescent="0.3">
      <c r="A109">
        <v>1065</v>
      </c>
      <c r="B109" s="1">
        <v>45254</v>
      </c>
      <c r="C109" t="s">
        <v>14</v>
      </c>
      <c r="D109" t="s">
        <v>34</v>
      </c>
      <c r="E109">
        <v>9183.11</v>
      </c>
      <c r="F109">
        <v>18</v>
      </c>
      <c r="G109" t="s">
        <v>26</v>
      </c>
      <c r="H109">
        <v>1239.0899999999999</v>
      </c>
      <c r="I109">
        <v>1273.98</v>
      </c>
      <c r="J109" t="s">
        <v>30</v>
      </c>
      <c r="K109">
        <v>0.02</v>
      </c>
      <c r="L109" t="s">
        <v>27</v>
      </c>
      <c r="M109" t="s">
        <v>22</v>
      </c>
      <c r="N109" t="s">
        <v>46</v>
      </c>
    </row>
    <row r="110" spans="1:14" x14ac:dyDescent="0.3">
      <c r="A110">
        <v>1089</v>
      </c>
      <c r="B110" s="1">
        <v>45193</v>
      </c>
      <c r="C110" t="s">
        <v>14</v>
      </c>
      <c r="D110" t="s">
        <v>25</v>
      </c>
      <c r="E110">
        <v>2975.99</v>
      </c>
      <c r="F110">
        <v>48</v>
      </c>
      <c r="G110" t="s">
        <v>26</v>
      </c>
      <c r="H110">
        <v>2246.67</v>
      </c>
      <c r="I110">
        <v>2486.14</v>
      </c>
      <c r="J110" t="s">
        <v>30</v>
      </c>
      <c r="K110">
        <v>0.03</v>
      </c>
      <c r="L110" t="s">
        <v>18</v>
      </c>
      <c r="M110" t="s">
        <v>22</v>
      </c>
      <c r="N110" t="s">
        <v>32</v>
      </c>
    </row>
    <row r="111" spans="1:14" x14ac:dyDescent="0.3">
      <c r="A111">
        <v>1071</v>
      </c>
      <c r="B111" s="1">
        <v>45287</v>
      </c>
      <c r="C111" t="s">
        <v>24</v>
      </c>
      <c r="D111" t="s">
        <v>34</v>
      </c>
      <c r="E111">
        <v>4752.88</v>
      </c>
      <c r="F111">
        <v>40</v>
      </c>
      <c r="G111" t="s">
        <v>26</v>
      </c>
      <c r="H111">
        <v>1447.72</v>
      </c>
      <c r="I111">
        <v>1875.75</v>
      </c>
      <c r="J111" t="s">
        <v>30</v>
      </c>
      <c r="K111">
        <v>0.13</v>
      </c>
      <c r="L111" t="s">
        <v>18</v>
      </c>
      <c r="M111" t="s">
        <v>22</v>
      </c>
      <c r="N111" t="s">
        <v>50</v>
      </c>
    </row>
    <row r="112" spans="1:14" x14ac:dyDescent="0.3">
      <c r="A112">
        <v>1009</v>
      </c>
      <c r="B112" s="1">
        <v>45155</v>
      </c>
      <c r="C112" t="s">
        <v>14</v>
      </c>
      <c r="D112" t="s">
        <v>21</v>
      </c>
      <c r="E112">
        <v>8912.4</v>
      </c>
      <c r="F112">
        <v>33</v>
      </c>
      <c r="G112" t="s">
        <v>29</v>
      </c>
      <c r="H112">
        <v>450.72</v>
      </c>
      <c r="I112">
        <v>918.17000000000007</v>
      </c>
      <c r="J112" t="s">
        <v>17</v>
      </c>
      <c r="K112">
        <v>0.11</v>
      </c>
      <c r="L112" t="s">
        <v>18</v>
      </c>
      <c r="M112" t="s">
        <v>19</v>
      </c>
      <c r="N112" t="s">
        <v>23</v>
      </c>
    </row>
    <row r="113" spans="1:14" x14ac:dyDescent="0.3">
      <c r="A113">
        <v>1088</v>
      </c>
      <c r="B113" s="1">
        <v>45196</v>
      </c>
      <c r="C113" t="s">
        <v>38</v>
      </c>
      <c r="D113" t="s">
        <v>15</v>
      </c>
      <c r="E113">
        <v>7106.44</v>
      </c>
      <c r="F113">
        <v>12</v>
      </c>
      <c r="G113" t="s">
        <v>29</v>
      </c>
      <c r="H113">
        <v>4389.24</v>
      </c>
      <c r="I113">
        <v>4856.2199999999993</v>
      </c>
      <c r="J113" t="s">
        <v>17</v>
      </c>
      <c r="K113">
        <v>0.15</v>
      </c>
      <c r="L113" t="s">
        <v>18</v>
      </c>
      <c r="M113" t="s">
        <v>22</v>
      </c>
      <c r="N113" t="s">
        <v>40</v>
      </c>
    </row>
    <row r="114" spans="1:14" x14ac:dyDescent="0.3">
      <c r="A114">
        <v>1001</v>
      </c>
      <c r="B114" s="1">
        <v>45242</v>
      </c>
      <c r="C114" t="s">
        <v>42</v>
      </c>
      <c r="D114" t="s">
        <v>15</v>
      </c>
      <c r="E114">
        <v>715.81</v>
      </c>
      <c r="F114">
        <v>8</v>
      </c>
      <c r="G114" t="s">
        <v>35</v>
      </c>
      <c r="H114">
        <v>3657.91</v>
      </c>
      <c r="I114">
        <v>3729.27</v>
      </c>
      <c r="J114" t="s">
        <v>30</v>
      </c>
      <c r="K114">
        <v>0.09</v>
      </c>
      <c r="L114" t="s">
        <v>27</v>
      </c>
      <c r="M114" t="s">
        <v>22</v>
      </c>
      <c r="N114" t="s">
        <v>49</v>
      </c>
    </row>
    <row r="115" spans="1:14" x14ac:dyDescent="0.3">
      <c r="A115">
        <v>1008</v>
      </c>
      <c r="B115" s="1">
        <v>45212</v>
      </c>
      <c r="C115" t="s">
        <v>38</v>
      </c>
      <c r="D115" t="s">
        <v>21</v>
      </c>
      <c r="E115">
        <v>1558.3</v>
      </c>
      <c r="F115">
        <v>24</v>
      </c>
      <c r="G115" t="s">
        <v>35</v>
      </c>
      <c r="H115">
        <v>1542.24</v>
      </c>
      <c r="I115">
        <v>1739.45</v>
      </c>
      <c r="J115" t="s">
        <v>17</v>
      </c>
      <c r="K115">
        <v>0.21</v>
      </c>
      <c r="L115" t="s">
        <v>27</v>
      </c>
      <c r="M115" t="s">
        <v>22</v>
      </c>
      <c r="N115" t="s">
        <v>41</v>
      </c>
    </row>
    <row r="116" spans="1:14" x14ac:dyDescent="0.3">
      <c r="A116">
        <v>1088</v>
      </c>
      <c r="B116" s="1">
        <v>45217</v>
      </c>
      <c r="C116" t="s">
        <v>38</v>
      </c>
      <c r="D116" t="s">
        <v>21</v>
      </c>
      <c r="E116">
        <v>177.63</v>
      </c>
      <c r="F116">
        <v>16</v>
      </c>
      <c r="G116" t="s">
        <v>16</v>
      </c>
      <c r="H116">
        <v>3016.9</v>
      </c>
      <c r="I116">
        <v>3040.73</v>
      </c>
      <c r="J116" t="s">
        <v>30</v>
      </c>
      <c r="K116">
        <v>0.26</v>
      </c>
      <c r="L116" t="s">
        <v>27</v>
      </c>
      <c r="M116" t="s">
        <v>22</v>
      </c>
      <c r="N116" t="s">
        <v>41</v>
      </c>
    </row>
    <row r="117" spans="1:14" x14ac:dyDescent="0.3">
      <c r="A117">
        <v>1063</v>
      </c>
      <c r="B117" s="1">
        <v>45139</v>
      </c>
      <c r="C117" t="s">
        <v>14</v>
      </c>
      <c r="D117" t="s">
        <v>25</v>
      </c>
      <c r="E117">
        <v>6346.13</v>
      </c>
      <c r="F117">
        <v>4</v>
      </c>
      <c r="G117" t="s">
        <v>35</v>
      </c>
      <c r="H117">
        <v>1046.26</v>
      </c>
      <c r="I117">
        <v>1475.29</v>
      </c>
      <c r="J117" t="s">
        <v>17</v>
      </c>
      <c r="K117">
        <v>0.09</v>
      </c>
      <c r="L117" t="s">
        <v>27</v>
      </c>
      <c r="M117" t="s">
        <v>22</v>
      </c>
      <c r="N117" t="s">
        <v>32</v>
      </c>
    </row>
    <row r="118" spans="1:14" x14ac:dyDescent="0.3">
      <c r="A118">
        <v>1011</v>
      </c>
      <c r="B118" s="1">
        <v>45091</v>
      </c>
      <c r="C118" t="s">
        <v>42</v>
      </c>
      <c r="D118" t="s">
        <v>25</v>
      </c>
      <c r="E118">
        <v>4531.97</v>
      </c>
      <c r="F118">
        <v>38</v>
      </c>
      <c r="G118" t="s">
        <v>16</v>
      </c>
      <c r="H118">
        <v>4456.67</v>
      </c>
      <c r="I118">
        <v>4642.46</v>
      </c>
      <c r="J118" t="s">
        <v>30</v>
      </c>
      <c r="K118">
        <v>0.06</v>
      </c>
      <c r="L118" t="s">
        <v>27</v>
      </c>
      <c r="M118" t="s">
        <v>19</v>
      </c>
      <c r="N118" t="s">
        <v>43</v>
      </c>
    </row>
    <row r="119" spans="1:14" x14ac:dyDescent="0.3">
      <c r="A119">
        <v>1081</v>
      </c>
      <c r="B119" s="1">
        <v>44931</v>
      </c>
      <c r="C119" t="s">
        <v>14</v>
      </c>
      <c r="D119" t="s">
        <v>25</v>
      </c>
      <c r="E119">
        <v>1429.32</v>
      </c>
      <c r="F119">
        <v>44</v>
      </c>
      <c r="G119" t="s">
        <v>26</v>
      </c>
      <c r="H119">
        <v>618.79</v>
      </c>
      <c r="I119">
        <v>938.04</v>
      </c>
      <c r="J119" t="s">
        <v>17</v>
      </c>
      <c r="K119">
        <v>0.03</v>
      </c>
      <c r="L119" t="s">
        <v>18</v>
      </c>
      <c r="M119" t="s">
        <v>19</v>
      </c>
      <c r="N119" t="s">
        <v>32</v>
      </c>
    </row>
    <row r="120" spans="1:14" x14ac:dyDescent="0.3">
      <c r="A120">
        <v>1008</v>
      </c>
      <c r="B120" s="1">
        <v>45265</v>
      </c>
      <c r="C120" t="s">
        <v>33</v>
      </c>
      <c r="D120" t="s">
        <v>34</v>
      </c>
      <c r="E120">
        <v>9583.5499999999993</v>
      </c>
      <c r="F120">
        <v>27</v>
      </c>
      <c r="G120" t="s">
        <v>35</v>
      </c>
      <c r="H120">
        <v>68.989999999999995</v>
      </c>
      <c r="I120">
        <v>429.29</v>
      </c>
      <c r="J120" t="s">
        <v>17</v>
      </c>
      <c r="K120">
        <v>0.18</v>
      </c>
      <c r="L120" t="s">
        <v>31</v>
      </c>
      <c r="M120" t="s">
        <v>22</v>
      </c>
      <c r="N120" t="s">
        <v>36</v>
      </c>
    </row>
    <row r="121" spans="1:14" x14ac:dyDescent="0.3">
      <c r="A121">
        <v>1035</v>
      </c>
      <c r="B121" s="1">
        <v>45004</v>
      </c>
      <c r="C121" t="s">
        <v>14</v>
      </c>
      <c r="D121" t="s">
        <v>25</v>
      </c>
      <c r="E121">
        <v>5343.63</v>
      </c>
      <c r="F121">
        <v>9</v>
      </c>
      <c r="G121" t="s">
        <v>29</v>
      </c>
      <c r="H121">
        <v>2534.94</v>
      </c>
      <c r="I121">
        <v>2755.56</v>
      </c>
      <c r="J121" t="s">
        <v>17</v>
      </c>
      <c r="K121">
        <v>0.13</v>
      </c>
      <c r="L121" t="s">
        <v>31</v>
      </c>
      <c r="M121" t="s">
        <v>22</v>
      </c>
      <c r="N121" t="s">
        <v>32</v>
      </c>
    </row>
    <row r="122" spans="1:14" x14ac:dyDescent="0.3">
      <c r="A122">
        <v>1035</v>
      </c>
      <c r="B122" s="1">
        <v>44988</v>
      </c>
      <c r="C122" t="s">
        <v>14</v>
      </c>
      <c r="D122" t="s">
        <v>21</v>
      </c>
      <c r="E122">
        <v>2494.7399999999998</v>
      </c>
      <c r="F122">
        <v>47</v>
      </c>
      <c r="G122" t="s">
        <v>35</v>
      </c>
      <c r="H122">
        <v>2936.48</v>
      </c>
      <c r="I122">
        <v>3096.64</v>
      </c>
      <c r="J122" t="s">
        <v>30</v>
      </c>
      <c r="K122">
        <v>0.06</v>
      </c>
      <c r="L122" t="s">
        <v>27</v>
      </c>
      <c r="M122" t="s">
        <v>19</v>
      </c>
      <c r="N122" t="s">
        <v>23</v>
      </c>
    </row>
    <row r="123" spans="1:14" x14ac:dyDescent="0.3">
      <c r="A123">
        <v>1033</v>
      </c>
      <c r="B123" s="1">
        <v>45058</v>
      </c>
      <c r="C123" t="s">
        <v>14</v>
      </c>
      <c r="D123" t="s">
        <v>15</v>
      </c>
      <c r="E123">
        <v>5055.9799999999996</v>
      </c>
      <c r="F123">
        <v>16</v>
      </c>
      <c r="G123" t="s">
        <v>16</v>
      </c>
      <c r="H123">
        <v>2915.88</v>
      </c>
      <c r="I123">
        <v>3397.36</v>
      </c>
      <c r="J123" t="s">
        <v>30</v>
      </c>
      <c r="K123">
        <v>0.2</v>
      </c>
      <c r="L123" t="s">
        <v>27</v>
      </c>
      <c r="M123" t="s">
        <v>22</v>
      </c>
      <c r="N123" t="s">
        <v>20</v>
      </c>
    </row>
    <row r="124" spans="1:14" x14ac:dyDescent="0.3">
      <c r="A124">
        <v>1005</v>
      </c>
      <c r="B124" s="1">
        <v>45015</v>
      </c>
      <c r="C124" t="s">
        <v>42</v>
      </c>
      <c r="D124" t="s">
        <v>34</v>
      </c>
      <c r="E124">
        <v>6828.24</v>
      </c>
      <c r="F124">
        <v>12</v>
      </c>
      <c r="G124" t="s">
        <v>35</v>
      </c>
      <c r="H124">
        <v>319.83</v>
      </c>
      <c r="I124">
        <v>802.43000000000006</v>
      </c>
      <c r="J124" t="s">
        <v>30</v>
      </c>
      <c r="K124">
        <v>0.04</v>
      </c>
      <c r="L124" t="s">
        <v>31</v>
      </c>
      <c r="M124" t="s">
        <v>22</v>
      </c>
      <c r="N124" t="s">
        <v>52</v>
      </c>
    </row>
    <row r="125" spans="1:14" x14ac:dyDescent="0.3">
      <c r="A125">
        <v>1041</v>
      </c>
      <c r="B125" s="1">
        <v>45163</v>
      </c>
      <c r="C125" t="s">
        <v>14</v>
      </c>
      <c r="D125" t="s">
        <v>25</v>
      </c>
      <c r="E125">
        <v>854.77</v>
      </c>
      <c r="F125">
        <v>31</v>
      </c>
      <c r="G125" t="s">
        <v>26</v>
      </c>
      <c r="H125">
        <v>1604.52</v>
      </c>
      <c r="I125">
        <v>1756.34</v>
      </c>
      <c r="J125" t="s">
        <v>17</v>
      </c>
      <c r="K125">
        <v>0.17</v>
      </c>
      <c r="L125" t="s">
        <v>18</v>
      </c>
      <c r="M125" t="s">
        <v>22</v>
      </c>
      <c r="N125" t="s">
        <v>32</v>
      </c>
    </row>
    <row r="126" spans="1:14" x14ac:dyDescent="0.3">
      <c r="A126">
        <v>1028</v>
      </c>
      <c r="B126" s="1">
        <v>44968</v>
      </c>
      <c r="C126" t="s">
        <v>42</v>
      </c>
      <c r="D126" t="s">
        <v>34</v>
      </c>
      <c r="E126">
        <v>2819.57</v>
      </c>
      <c r="F126">
        <v>24</v>
      </c>
      <c r="G126" t="s">
        <v>29</v>
      </c>
      <c r="H126">
        <v>2521.0300000000002</v>
      </c>
      <c r="I126">
        <v>2766.05</v>
      </c>
      <c r="J126" t="s">
        <v>17</v>
      </c>
      <c r="K126">
        <v>0.16</v>
      </c>
      <c r="L126" t="s">
        <v>27</v>
      </c>
      <c r="M126" t="s">
        <v>22</v>
      </c>
      <c r="N126" t="s">
        <v>52</v>
      </c>
    </row>
    <row r="127" spans="1:14" x14ac:dyDescent="0.3">
      <c r="A127">
        <v>1007</v>
      </c>
      <c r="B127" s="1">
        <v>45015</v>
      </c>
      <c r="C127" t="s">
        <v>24</v>
      </c>
      <c r="D127" t="s">
        <v>34</v>
      </c>
      <c r="E127">
        <v>8088.96</v>
      </c>
      <c r="F127">
        <v>14</v>
      </c>
      <c r="G127" t="s">
        <v>16</v>
      </c>
      <c r="H127">
        <v>1122.07</v>
      </c>
      <c r="I127">
        <v>1608.76</v>
      </c>
      <c r="J127" t="s">
        <v>30</v>
      </c>
      <c r="K127">
        <v>0.22</v>
      </c>
      <c r="L127" t="s">
        <v>18</v>
      </c>
      <c r="M127" t="s">
        <v>22</v>
      </c>
      <c r="N127" t="s">
        <v>50</v>
      </c>
    </row>
    <row r="128" spans="1:14" x14ac:dyDescent="0.3">
      <c r="A128">
        <v>1073</v>
      </c>
      <c r="B128" s="1">
        <v>45222</v>
      </c>
      <c r="C128" t="s">
        <v>33</v>
      </c>
      <c r="D128" t="s">
        <v>25</v>
      </c>
      <c r="E128">
        <v>4650.68</v>
      </c>
      <c r="F128">
        <v>45</v>
      </c>
      <c r="G128" t="s">
        <v>29</v>
      </c>
      <c r="H128">
        <v>4369.5</v>
      </c>
      <c r="I128">
        <v>4381.8900000000003</v>
      </c>
      <c r="J128" t="s">
        <v>17</v>
      </c>
      <c r="K128">
        <v>0.02</v>
      </c>
      <c r="L128" t="s">
        <v>31</v>
      </c>
      <c r="M128" t="s">
        <v>22</v>
      </c>
      <c r="N128" t="s">
        <v>44</v>
      </c>
    </row>
    <row r="129" spans="1:14" x14ac:dyDescent="0.3">
      <c r="A129">
        <v>1072</v>
      </c>
      <c r="B129" s="1">
        <v>45254</v>
      </c>
      <c r="C129" t="s">
        <v>42</v>
      </c>
      <c r="D129" t="s">
        <v>34</v>
      </c>
      <c r="E129">
        <v>5511.11</v>
      </c>
      <c r="F129">
        <v>25</v>
      </c>
      <c r="G129" t="s">
        <v>29</v>
      </c>
      <c r="H129">
        <v>481.19</v>
      </c>
      <c r="I129">
        <v>693.4</v>
      </c>
      <c r="J129" t="s">
        <v>30</v>
      </c>
      <c r="K129">
        <v>0.27</v>
      </c>
      <c r="L129" t="s">
        <v>31</v>
      </c>
      <c r="M129" t="s">
        <v>22</v>
      </c>
      <c r="N129" t="s">
        <v>52</v>
      </c>
    </row>
    <row r="130" spans="1:14" x14ac:dyDescent="0.3">
      <c r="A130">
        <v>1012</v>
      </c>
      <c r="B130" s="1">
        <v>45221</v>
      </c>
      <c r="C130" t="s">
        <v>24</v>
      </c>
      <c r="D130" t="s">
        <v>15</v>
      </c>
      <c r="E130">
        <v>4384.88</v>
      </c>
      <c r="F130">
        <v>34</v>
      </c>
      <c r="G130" t="s">
        <v>16</v>
      </c>
      <c r="H130">
        <v>2462.5500000000002</v>
      </c>
      <c r="I130">
        <v>2521.77</v>
      </c>
      <c r="J130" t="s">
        <v>30</v>
      </c>
      <c r="K130">
        <v>0.21</v>
      </c>
      <c r="L130" t="s">
        <v>27</v>
      </c>
      <c r="M130" t="s">
        <v>22</v>
      </c>
      <c r="N130" t="s">
        <v>45</v>
      </c>
    </row>
    <row r="131" spans="1:14" x14ac:dyDescent="0.3">
      <c r="A131">
        <v>1034</v>
      </c>
      <c r="B131" s="1">
        <v>45030</v>
      </c>
      <c r="C131" t="s">
        <v>42</v>
      </c>
      <c r="D131" t="s">
        <v>21</v>
      </c>
      <c r="E131">
        <v>534.61</v>
      </c>
      <c r="F131">
        <v>3</v>
      </c>
      <c r="G131" t="s">
        <v>29</v>
      </c>
      <c r="H131">
        <v>3472.51</v>
      </c>
      <c r="I131">
        <v>3732</v>
      </c>
      <c r="J131" t="s">
        <v>30</v>
      </c>
      <c r="K131">
        <v>0.06</v>
      </c>
      <c r="L131" t="s">
        <v>18</v>
      </c>
      <c r="M131" t="s">
        <v>19</v>
      </c>
      <c r="N131" t="s">
        <v>51</v>
      </c>
    </row>
    <row r="132" spans="1:14" x14ac:dyDescent="0.3">
      <c r="A132">
        <v>1033</v>
      </c>
      <c r="B132" s="1">
        <v>44940</v>
      </c>
      <c r="C132" t="s">
        <v>42</v>
      </c>
      <c r="D132" t="s">
        <v>21</v>
      </c>
      <c r="E132">
        <v>1740.92</v>
      </c>
      <c r="F132">
        <v>24</v>
      </c>
      <c r="G132" t="s">
        <v>29</v>
      </c>
      <c r="H132">
        <v>1345.67</v>
      </c>
      <c r="I132">
        <v>1367.76</v>
      </c>
      <c r="J132" t="s">
        <v>30</v>
      </c>
      <c r="K132">
        <v>0.06</v>
      </c>
      <c r="L132" t="s">
        <v>27</v>
      </c>
      <c r="M132" t="s">
        <v>19</v>
      </c>
      <c r="N132" t="s">
        <v>51</v>
      </c>
    </row>
    <row r="133" spans="1:14" x14ac:dyDescent="0.3">
      <c r="A133">
        <v>1048</v>
      </c>
      <c r="B133" s="1">
        <v>45214</v>
      </c>
      <c r="C133" t="s">
        <v>33</v>
      </c>
      <c r="D133" t="s">
        <v>15</v>
      </c>
      <c r="E133">
        <v>4510.8599999999997</v>
      </c>
      <c r="F133">
        <v>42</v>
      </c>
      <c r="G133" t="s">
        <v>35</v>
      </c>
      <c r="H133">
        <v>3139.99</v>
      </c>
      <c r="I133">
        <v>3349.37</v>
      </c>
      <c r="J133" t="s">
        <v>17</v>
      </c>
      <c r="K133">
        <v>0.13</v>
      </c>
      <c r="L133" t="s">
        <v>31</v>
      </c>
      <c r="M133" t="s">
        <v>22</v>
      </c>
      <c r="N133" t="s">
        <v>53</v>
      </c>
    </row>
    <row r="134" spans="1:14" x14ac:dyDescent="0.3">
      <c r="A134">
        <v>1023</v>
      </c>
      <c r="B134" s="1">
        <v>45105</v>
      </c>
      <c r="C134" t="s">
        <v>38</v>
      </c>
      <c r="D134" t="s">
        <v>34</v>
      </c>
      <c r="E134">
        <v>2170.94</v>
      </c>
      <c r="F134">
        <v>9</v>
      </c>
      <c r="G134" t="s">
        <v>29</v>
      </c>
      <c r="H134">
        <v>4155.46</v>
      </c>
      <c r="I134">
        <v>4273.6000000000004</v>
      </c>
      <c r="J134" t="s">
        <v>17</v>
      </c>
      <c r="K134">
        <v>0.25</v>
      </c>
      <c r="L134" t="s">
        <v>18</v>
      </c>
      <c r="M134" t="s">
        <v>22</v>
      </c>
      <c r="N134" t="s">
        <v>48</v>
      </c>
    </row>
    <row r="135" spans="1:14" x14ac:dyDescent="0.3">
      <c r="A135">
        <v>1062</v>
      </c>
      <c r="B135" s="1">
        <v>45051</v>
      </c>
      <c r="C135" t="s">
        <v>38</v>
      </c>
      <c r="D135" t="s">
        <v>25</v>
      </c>
      <c r="E135">
        <v>594.79</v>
      </c>
      <c r="F135">
        <v>26</v>
      </c>
      <c r="G135" t="s">
        <v>29</v>
      </c>
      <c r="H135">
        <v>992.17</v>
      </c>
      <c r="I135">
        <v>1263.49</v>
      </c>
      <c r="J135" t="s">
        <v>17</v>
      </c>
      <c r="K135">
        <v>0.25</v>
      </c>
      <c r="L135" t="s">
        <v>27</v>
      </c>
      <c r="M135" t="s">
        <v>22</v>
      </c>
      <c r="N135" t="s">
        <v>39</v>
      </c>
    </row>
    <row r="136" spans="1:14" x14ac:dyDescent="0.3">
      <c r="A136">
        <v>1088</v>
      </c>
      <c r="B136" s="1">
        <v>45279</v>
      </c>
      <c r="C136" t="s">
        <v>42</v>
      </c>
      <c r="D136" t="s">
        <v>34</v>
      </c>
      <c r="E136">
        <v>8452.1299999999992</v>
      </c>
      <c r="F136">
        <v>20</v>
      </c>
      <c r="G136" t="s">
        <v>29</v>
      </c>
      <c r="H136">
        <v>4590.24</v>
      </c>
      <c r="I136">
        <v>5088.28</v>
      </c>
      <c r="J136" t="s">
        <v>30</v>
      </c>
      <c r="K136">
        <v>0.16</v>
      </c>
      <c r="L136" t="s">
        <v>27</v>
      </c>
      <c r="M136" t="s">
        <v>22</v>
      </c>
      <c r="N136" t="s">
        <v>52</v>
      </c>
    </row>
    <row r="137" spans="1:14" x14ac:dyDescent="0.3">
      <c r="A137">
        <v>1037</v>
      </c>
      <c r="B137" s="1">
        <v>44949</v>
      </c>
      <c r="C137" t="s">
        <v>14</v>
      </c>
      <c r="D137" t="s">
        <v>15</v>
      </c>
      <c r="E137">
        <v>9813.81</v>
      </c>
      <c r="F137">
        <v>40</v>
      </c>
      <c r="G137" t="s">
        <v>29</v>
      </c>
      <c r="H137">
        <v>2790.11</v>
      </c>
      <c r="I137">
        <v>3192.37</v>
      </c>
      <c r="J137" t="s">
        <v>17</v>
      </c>
      <c r="K137">
        <v>0.26</v>
      </c>
      <c r="L137" t="s">
        <v>27</v>
      </c>
      <c r="M137" t="s">
        <v>19</v>
      </c>
      <c r="N137" t="s">
        <v>20</v>
      </c>
    </row>
    <row r="138" spans="1:14" x14ac:dyDescent="0.3">
      <c r="A138">
        <v>1099</v>
      </c>
      <c r="B138" s="1">
        <v>44989</v>
      </c>
      <c r="C138" t="s">
        <v>24</v>
      </c>
      <c r="D138" t="s">
        <v>34</v>
      </c>
      <c r="E138">
        <v>7952.11</v>
      </c>
      <c r="F138">
        <v>10</v>
      </c>
      <c r="G138" t="s">
        <v>16</v>
      </c>
      <c r="H138">
        <v>1531.2</v>
      </c>
      <c r="I138">
        <v>1955.56</v>
      </c>
      <c r="J138" t="s">
        <v>30</v>
      </c>
      <c r="K138">
        <v>0</v>
      </c>
      <c r="L138" t="s">
        <v>31</v>
      </c>
      <c r="M138" t="s">
        <v>19</v>
      </c>
      <c r="N138" t="s">
        <v>50</v>
      </c>
    </row>
    <row r="139" spans="1:14" x14ac:dyDescent="0.3">
      <c r="A139">
        <v>1044</v>
      </c>
      <c r="B139" s="1">
        <v>45069</v>
      </c>
      <c r="C139" t="s">
        <v>14</v>
      </c>
      <c r="D139" t="s">
        <v>21</v>
      </c>
      <c r="E139">
        <v>8552.4699999999993</v>
      </c>
      <c r="F139">
        <v>19</v>
      </c>
      <c r="G139" t="s">
        <v>26</v>
      </c>
      <c r="H139">
        <v>2182.75</v>
      </c>
      <c r="I139">
        <v>2504.0299999999997</v>
      </c>
      <c r="J139" t="s">
        <v>30</v>
      </c>
      <c r="K139">
        <v>0.01</v>
      </c>
      <c r="L139" t="s">
        <v>27</v>
      </c>
      <c r="M139" t="s">
        <v>19</v>
      </c>
      <c r="N139" t="s">
        <v>23</v>
      </c>
    </row>
    <row r="140" spans="1:14" x14ac:dyDescent="0.3">
      <c r="A140">
        <v>1086</v>
      </c>
      <c r="B140" s="1">
        <v>45079</v>
      </c>
      <c r="C140" t="s">
        <v>14</v>
      </c>
      <c r="D140" t="s">
        <v>34</v>
      </c>
      <c r="E140">
        <v>2495.5700000000002</v>
      </c>
      <c r="F140">
        <v>3</v>
      </c>
      <c r="G140" t="s">
        <v>35</v>
      </c>
      <c r="H140">
        <v>1595.35</v>
      </c>
      <c r="I140">
        <v>1625.7099999999998</v>
      </c>
      <c r="J140" t="s">
        <v>30</v>
      </c>
      <c r="K140">
        <v>0.27</v>
      </c>
      <c r="L140" t="s">
        <v>18</v>
      </c>
      <c r="M140" t="s">
        <v>19</v>
      </c>
      <c r="N140" t="s">
        <v>46</v>
      </c>
    </row>
    <row r="141" spans="1:14" x14ac:dyDescent="0.3">
      <c r="A141">
        <v>1091</v>
      </c>
      <c r="B141" s="1">
        <v>45071</v>
      </c>
      <c r="C141" t="s">
        <v>42</v>
      </c>
      <c r="D141" t="s">
        <v>15</v>
      </c>
      <c r="E141">
        <v>9610.2099999999991</v>
      </c>
      <c r="F141">
        <v>24</v>
      </c>
      <c r="G141" t="s">
        <v>29</v>
      </c>
      <c r="H141">
        <v>3639.3</v>
      </c>
      <c r="I141">
        <v>3750.63</v>
      </c>
      <c r="J141" t="s">
        <v>30</v>
      </c>
      <c r="K141">
        <v>0.23</v>
      </c>
      <c r="L141" t="s">
        <v>27</v>
      </c>
      <c r="M141" t="s">
        <v>22</v>
      </c>
      <c r="N141" t="s">
        <v>49</v>
      </c>
    </row>
    <row r="142" spans="1:14" x14ac:dyDescent="0.3">
      <c r="A142">
        <v>1035</v>
      </c>
      <c r="B142" s="1">
        <v>45151</v>
      </c>
      <c r="C142" t="s">
        <v>42</v>
      </c>
      <c r="D142" t="s">
        <v>21</v>
      </c>
      <c r="E142">
        <v>2049.56</v>
      </c>
      <c r="F142">
        <v>5</v>
      </c>
      <c r="G142" t="s">
        <v>29</v>
      </c>
      <c r="H142">
        <v>3991.69</v>
      </c>
      <c r="I142">
        <v>4454.97</v>
      </c>
      <c r="J142" t="s">
        <v>30</v>
      </c>
      <c r="K142">
        <v>0.14000000000000001</v>
      </c>
      <c r="L142" t="s">
        <v>31</v>
      </c>
      <c r="M142" t="s">
        <v>22</v>
      </c>
      <c r="N142" t="s">
        <v>51</v>
      </c>
    </row>
    <row r="143" spans="1:14" x14ac:dyDescent="0.3">
      <c r="A143">
        <v>1065</v>
      </c>
      <c r="B143" s="1">
        <v>45235</v>
      </c>
      <c r="C143" t="s">
        <v>42</v>
      </c>
      <c r="D143" t="s">
        <v>34</v>
      </c>
      <c r="E143">
        <v>9519.16</v>
      </c>
      <c r="F143">
        <v>3</v>
      </c>
      <c r="G143" t="s">
        <v>16</v>
      </c>
      <c r="H143">
        <v>4173.04</v>
      </c>
      <c r="I143">
        <v>4362.4399999999996</v>
      </c>
      <c r="J143" t="s">
        <v>30</v>
      </c>
      <c r="K143">
        <v>0.23</v>
      </c>
      <c r="L143" t="s">
        <v>27</v>
      </c>
      <c r="M143" t="s">
        <v>22</v>
      </c>
      <c r="N143" t="s">
        <v>52</v>
      </c>
    </row>
    <row r="144" spans="1:14" x14ac:dyDescent="0.3">
      <c r="A144">
        <v>1099</v>
      </c>
      <c r="B144" s="1">
        <v>45030</v>
      </c>
      <c r="C144" t="s">
        <v>42</v>
      </c>
      <c r="D144" t="s">
        <v>34</v>
      </c>
      <c r="E144">
        <v>9948.7099999999991</v>
      </c>
      <c r="F144">
        <v>27</v>
      </c>
      <c r="G144" t="s">
        <v>26</v>
      </c>
      <c r="H144">
        <v>4929.55</v>
      </c>
      <c r="I144">
        <v>4990.33</v>
      </c>
      <c r="J144" t="s">
        <v>17</v>
      </c>
      <c r="K144">
        <v>0.28999999999999998</v>
      </c>
      <c r="L144" t="s">
        <v>31</v>
      </c>
      <c r="M144" t="s">
        <v>19</v>
      </c>
      <c r="N144" t="s">
        <v>52</v>
      </c>
    </row>
    <row r="145" spans="1:14" x14ac:dyDescent="0.3">
      <c r="A145">
        <v>1047</v>
      </c>
      <c r="B145" s="1">
        <v>45030</v>
      </c>
      <c r="C145" t="s">
        <v>38</v>
      </c>
      <c r="D145" t="s">
        <v>21</v>
      </c>
      <c r="E145">
        <v>7146.06</v>
      </c>
      <c r="F145">
        <v>16</v>
      </c>
      <c r="G145" t="s">
        <v>29</v>
      </c>
      <c r="H145">
        <v>3966.86</v>
      </c>
      <c r="I145">
        <v>4321.04</v>
      </c>
      <c r="J145" t="s">
        <v>17</v>
      </c>
      <c r="K145">
        <v>0.23</v>
      </c>
      <c r="L145" t="s">
        <v>31</v>
      </c>
      <c r="M145" t="s">
        <v>22</v>
      </c>
      <c r="N145" t="s">
        <v>41</v>
      </c>
    </row>
    <row r="146" spans="1:14" x14ac:dyDescent="0.3">
      <c r="A146">
        <v>1078</v>
      </c>
      <c r="B146" s="1">
        <v>44965</v>
      </c>
      <c r="C146" t="s">
        <v>42</v>
      </c>
      <c r="D146" t="s">
        <v>25</v>
      </c>
      <c r="E146">
        <v>9813.32</v>
      </c>
      <c r="F146">
        <v>49</v>
      </c>
      <c r="G146" t="s">
        <v>16</v>
      </c>
      <c r="H146">
        <v>3026.85</v>
      </c>
      <c r="I146">
        <v>3183.58</v>
      </c>
      <c r="J146" t="s">
        <v>17</v>
      </c>
      <c r="K146">
        <v>0.25</v>
      </c>
      <c r="L146" t="s">
        <v>18</v>
      </c>
      <c r="M146" t="s">
        <v>22</v>
      </c>
      <c r="N146" t="s">
        <v>43</v>
      </c>
    </row>
    <row r="147" spans="1:14" x14ac:dyDescent="0.3">
      <c r="A147">
        <v>1003</v>
      </c>
      <c r="B147" s="1">
        <v>45124</v>
      </c>
      <c r="C147" t="s">
        <v>38</v>
      </c>
      <c r="D147" t="s">
        <v>21</v>
      </c>
      <c r="E147">
        <v>5738.44</v>
      </c>
      <c r="F147">
        <v>15</v>
      </c>
      <c r="G147" t="s">
        <v>35</v>
      </c>
      <c r="H147">
        <v>1729.14</v>
      </c>
      <c r="I147">
        <v>1870.88</v>
      </c>
      <c r="J147" t="s">
        <v>17</v>
      </c>
      <c r="K147">
        <v>0.23</v>
      </c>
      <c r="L147" t="s">
        <v>18</v>
      </c>
      <c r="M147" t="s">
        <v>19</v>
      </c>
      <c r="N147" t="s">
        <v>41</v>
      </c>
    </row>
    <row r="148" spans="1:14" x14ac:dyDescent="0.3">
      <c r="A148">
        <v>1001</v>
      </c>
      <c r="B148" s="1">
        <v>45060</v>
      </c>
      <c r="C148" t="s">
        <v>38</v>
      </c>
      <c r="D148" t="s">
        <v>25</v>
      </c>
      <c r="E148">
        <v>2669.46</v>
      </c>
      <c r="F148">
        <v>35</v>
      </c>
      <c r="G148" t="s">
        <v>35</v>
      </c>
      <c r="H148">
        <v>2745.75</v>
      </c>
      <c r="I148">
        <v>3244.76</v>
      </c>
      <c r="J148" t="s">
        <v>30</v>
      </c>
      <c r="K148">
        <v>0.05</v>
      </c>
      <c r="L148" t="s">
        <v>27</v>
      </c>
      <c r="M148" t="s">
        <v>19</v>
      </c>
      <c r="N148" t="s">
        <v>39</v>
      </c>
    </row>
    <row r="149" spans="1:14" x14ac:dyDescent="0.3">
      <c r="A149">
        <v>1005</v>
      </c>
      <c r="B149" s="1">
        <v>44993</v>
      </c>
      <c r="C149" t="s">
        <v>42</v>
      </c>
      <c r="D149" t="s">
        <v>15</v>
      </c>
      <c r="E149">
        <v>4426.26</v>
      </c>
      <c r="F149">
        <v>12</v>
      </c>
      <c r="G149" t="s">
        <v>29</v>
      </c>
      <c r="H149">
        <v>253.29</v>
      </c>
      <c r="I149">
        <v>683.78</v>
      </c>
      <c r="J149" t="s">
        <v>30</v>
      </c>
      <c r="K149">
        <v>0.25</v>
      </c>
      <c r="L149" t="s">
        <v>31</v>
      </c>
      <c r="M149" t="s">
        <v>19</v>
      </c>
      <c r="N149" t="s">
        <v>49</v>
      </c>
    </row>
    <row r="150" spans="1:14" x14ac:dyDescent="0.3">
      <c r="A150">
        <v>1090</v>
      </c>
      <c r="B150" s="1">
        <v>45105</v>
      </c>
      <c r="C150" t="s">
        <v>33</v>
      </c>
      <c r="D150" t="s">
        <v>15</v>
      </c>
      <c r="E150">
        <v>5976.25</v>
      </c>
      <c r="F150">
        <v>41</v>
      </c>
      <c r="G150" t="s">
        <v>29</v>
      </c>
      <c r="H150">
        <v>3736.88</v>
      </c>
      <c r="I150">
        <v>3946.77</v>
      </c>
      <c r="J150" t="s">
        <v>17</v>
      </c>
      <c r="K150">
        <v>0.06</v>
      </c>
      <c r="L150" t="s">
        <v>31</v>
      </c>
      <c r="M150" t="s">
        <v>19</v>
      </c>
      <c r="N150" t="s">
        <v>53</v>
      </c>
    </row>
    <row r="151" spans="1:14" x14ac:dyDescent="0.3">
      <c r="A151">
        <v>1014</v>
      </c>
      <c r="B151" s="1">
        <v>44968</v>
      </c>
      <c r="C151" t="s">
        <v>24</v>
      </c>
      <c r="D151" t="s">
        <v>21</v>
      </c>
      <c r="E151">
        <v>823.51</v>
      </c>
      <c r="F151">
        <v>44</v>
      </c>
      <c r="G151" t="s">
        <v>26</v>
      </c>
      <c r="H151">
        <v>2257.48</v>
      </c>
      <c r="I151">
        <v>2747.81</v>
      </c>
      <c r="J151" t="s">
        <v>17</v>
      </c>
      <c r="K151">
        <v>0.27</v>
      </c>
      <c r="L151" t="s">
        <v>18</v>
      </c>
      <c r="M151" t="s">
        <v>19</v>
      </c>
      <c r="N151" t="s">
        <v>47</v>
      </c>
    </row>
    <row r="152" spans="1:14" x14ac:dyDescent="0.3">
      <c r="A152">
        <v>1027</v>
      </c>
      <c r="B152" s="1">
        <v>44941</v>
      </c>
      <c r="C152" t="s">
        <v>14</v>
      </c>
      <c r="D152" t="s">
        <v>21</v>
      </c>
      <c r="E152">
        <v>6261.2</v>
      </c>
      <c r="F152">
        <v>26</v>
      </c>
      <c r="G152" t="s">
        <v>26</v>
      </c>
      <c r="H152">
        <v>149.11000000000001</v>
      </c>
      <c r="I152">
        <v>477.67</v>
      </c>
      <c r="J152" t="s">
        <v>17</v>
      </c>
      <c r="K152">
        <v>0.14000000000000001</v>
      </c>
      <c r="L152" t="s">
        <v>18</v>
      </c>
      <c r="M152" t="s">
        <v>22</v>
      </c>
      <c r="N152" t="s">
        <v>23</v>
      </c>
    </row>
    <row r="153" spans="1:14" x14ac:dyDescent="0.3">
      <c r="A153">
        <v>1009</v>
      </c>
      <c r="B153" s="1">
        <v>45037</v>
      </c>
      <c r="C153" t="s">
        <v>38</v>
      </c>
      <c r="D153" t="s">
        <v>15</v>
      </c>
      <c r="E153">
        <v>9813.66</v>
      </c>
      <c r="F153">
        <v>47</v>
      </c>
      <c r="G153" t="s">
        <v>29</v>
      </c>
      <c r="H153">
        <v>359.41</v>
      </c>
      <c r="I153">
        <v>733</v>
      </c>
      <c r="J153" t="s">
        <v>17</v>
      </c>
      <c r="K153">
        <v>0.2</v>
      </c>
      <c r="L153" t="s">
        <v>27</v>
      </c>
      <c r="M153" t="s">
        <v>22</v>
      </c>
      <c r="N153" t="s">
        <v>40</v>
      </c>
    </row>
    <row r="154" spans="1:14" x14ac:dyDescent="0.3">
      <c r="A154">
        <v>1079</v>
      </c>
      <c r="B154" s="1">
        <v>45083</v>
      </c>
      <c r="C154" t="s">
        <v>24</v>
      </c>
      <c r="D154" t="s">
        <v>25</v>
      </c>
      <c r="E154">
        <v>1982.07</v>
      </c>
      <c r="F154">
        <v>34</v>
      </c>
      <c r="G154" t="s">
        <v>16</v>
      </c>
      <c r="H154">
        <v>1967.96</v>
      </c>
      <c r="I154">
        <v>1993.4</v>
      </c>
      <c r="J154" t="s">
        <v>17</v>
      </c>
      <c r="K154">
        <v>0.15</v>
      </c>
      <c r="L154" t="s">
        <v>31</v>
      </c>
      <c r="M154" t="s">
        <v>19</v>
      </c>
      <c r="N154" t="s">
        <v>28</v>
      </c>
    </row>
    <row r="155" spans="1:14" x14ac:dyDescent="0.3">
      <c r="A155">
        <v>1015</v>
      </c>
      <c r="B155" s="1">
        <v>45215</v>
      </c>
      <c r="C155" t="s">
        <v>33</v>
      </c>
      <c r="D155" t="s">
        <v>15</v>
      </c>
      <c r="E155">
        <v>7946.69</v>
      </c>
      <c r="F155">
        <v>23</v>
      </c>
      <c r="G155" t="s">
        <v>26</v>
      </c>
      <c r="H155">
        <v>2937.94</v>
      </c>
      <c r="I155">
        <v>3007.53</v>
      </c>
      <c r="J155" t="s">
        <v>17</v>
      </c>
      <c r="K155">
        <v>0.03</v>
      </c>
      <c r="L155" t="s">
        <v>18</v>
      </c>
      <c r="M155" t="s">
        <v>22</v>
      </c>
      <c r="N155" t="s">
        <v>53</v>
      </c>
    </row>
    <row r="156" spans="1:14" x14ac:dyDescent="0.3">
      <c r="A156">
        <v>1090</v>
      </c>
      <c r="B156" s="1">
        <v>45157</v>
      </c>
      <c r="C156" t="s">
        <v>14</v>
      </c>
      <c r="D156" t="s">
        <v>21</v>
      </c>
      <c r="E156">
        <v>9088.2000000000007</v>
      </c>
      <c r="F156">
        <v>31</v>
      </c>
      <c r="G156" t="s">
        <v>29</v>
      </c>
      <c r="H156">
        <v>2347.81</v>
      </c>
      <c r="I156">
        <v>2668.02</v>
      </c>
      <c r="J156" t="s">
        <v>17</v>
      </c>
      <c r="K156">
        <v>0.09</v>
      </c>
      <c r="L156" t="s">
        <v>27</v>
      </c>
      <c r="M156" t="s">
        <v>22</v>
      </c>
      <c r="N156" t="s">
        <v>23</v>
      </c>
    </row>
    <row r="157" spans="1:14" x14ac:dyDescent="0.3">
      <c r="A157">
        <v>1042</v>
      </c>
      <c r="B157" s="1">
        <v>45083</v>
      </c>
      <c r="C157" t="s">
        <v>14</v>
      </c>
      <c r="D157" t="s">
        <v>15</v>
      </c>
      <c r="E157">
        <v>9442.65</v>
      </c>
      <c r="F157">
        <v>20</v>
      </c>
      <c r="G157" t="s">
        <v>26</v>
      </c>
      <c r="H157">
        <v>3115.06</v>
      </c>
      <c r="I157">
        <v>3565.58</v>
      </c>
      <c r="J157" t="s">
        <v>17</v>
      </c>
      <c r="K157">
        <v>0.3</v>
      </c>
      <c r="L157" t="s">
        <v>31</v>
      </c>
      <c r="M157" t="s">
        <v>22</v>
      </c>
      <c r="N157" t="s">
        <v>20</v>
      </c>
    </row>
    <row r="158" spans="1:14" x14ac:dyDescent="0.3">
      <c r="A158">
        <v>1077</v>
      </c>
      <c r="B158" s="1">
        <v>44964</v>
      </c>
      <c r="C158" t="s">
        <v>38</v>
      </c>
      <c r="D158" t="s">
        <v>21</v>
      </c>
      <c r="E158">
        <v>9605.34</v>
      </c>
      <c r="F158">
        <v>12</v>
      </c>
      <c r="G158" t="s">
        <v>29</v>
      </c>
      <c r="H158">
        <v>2427.46</v>
      </c>
      <c r="I158">
        <v>2743.09</v>
      </c>
      <c r="J158" t="s">
        <v>30</v>
      </c>
      <c r="K158">
        <v>0.28999999999999998</v>
      </c>
      <c r="L158" t="s">
        <v>31</v>
      </c>
      <c r="M158" t="s">
        <v>22</v>
      </c>
      <c r="N158" t="s">
        <v>41</v>
      </c>
    </row>
    <row r="159" spans="1:14" x14ac:dyDescent="0.3">
      <c r="A159">
        <v>1051</v>
      </c>
      <c r="B159" s="1">
        <v>45023</v>
      </c>
      <c r="C159" t="s">
        <v>42</v>
      </c>
      <c r="D159" t="s">
        <v>21</v>
      </c>
      <c r="E159">
        <v>5262.45</v>
      </c>
      <c r="F159">
        <v>23</v>
      </c>
      <c r="G159" t="s">
        <v>35</v>
      </c>
      <c r="H159">
        <v>3325.43</v>
      </c>
      <c r="I159">
        <v>3401.1</v>
      </c>
      <c r="J159" t="s">
        <v>30</v>
      </c>
      <c r="K159">
        <v>0.1</v>
      </c>
      <c r="L159" t="s">
        <v>18</v>
      </c>
      <c r="M159" t="s">
        <v>19</v>
      </c>
      <c r="N159" t="s">
        <v>51</v>
      </c>
    </row>
    <row r="160" spans="1:14" x14ac:dyDescent="0.3">
      <c r="A160">
        <v>1063</v>
      </c>
      <c r="B160" s="1">
        <v>45215</v>
      </c>
      <c r="C160" t="s">
        <v>33</v>
      </c>
      <c r="D160" t="s">
        <v>15</v>
      </c>
      <c r="E160">
        <v>9775.35</v>
      </c>
      <c r="F160">
        <v>4</v>
      </c>
      <c r="G160" t="s">
        <v>29</v>
      </c>
      <c r="H160">
        <v>1134.67</v>
      </c>
      <c r="I160">
        <v>1201.3900000000001</v>
      </c>
      <c r="J160" t="s">
        <v>30</v>
      </c>
      <c r="K160">
        <v>0.3</v>
      </c>
      <c r="L160" t="s">
        <v>27</v>
      </c>
      <c r="M160" t="s">
        <v>22</v>
      </c>
      <c r="N160" t="s">
        <v>53</v>
      </c>
    </row>
    <row r="161" spans="1:14" x14ac:dyDescent="0.3">
      <c r="A161">
        <v>1096</v>
      </c>
      <c r="B161" s="1">
        <v>45180</v>
      </c>
      <c r="C161" t="s">
        <v>38</v>
      </c>
      <c r="D161" t="s">
        <v>25</v>
      </c>
      <c r="E161">
        <v>7597.37</v>
      </c>
      <c r="F161">
        <v>23</v>
      </c>
      <c r="G161" t="s">
        <v>35</v>
      </c>
      <c r="H161">
        <v>608.57000000000005</v>
      </c>
      <c r="I161">
        <v>1032.22</v>
      </c>
      <c r="J161" t="s">
        <v>30</v>
      </c>
      <c r="K161">
        <v>0.25</v>
      </c>
      <c r="L161" t="s">
        <v>18</v>
      </c>
      <c r="M161" t="s">
        <v>22</v>
      </c>
      <c r="N161" t="s">
        <v>39</v>
      </c>
    </row>
    <row r="162" spans="1:14" x14ac:dyDescent="0.3">
      <c r="A162">
        <v>1052</v>
      </c>
      <c r="B162" s="1">
        <v>45122</v>
      </c>
      <c r="C162" t="s">
        <v>33</v>
      </c>
      <c r="D162" t="s">
        <v>34</v>
      </c>
      <c r="E162">
        <v>1700.55</v>
      </c>
      <c r="F162">
        <v>48</v>
      </c>
      <c r="G162" t="s">
        <v>26</v>
      </c>
      <c r="H162">
        <v>3002.35</v>
      </c>
      <c r="I162">
        <v>3080.61</v>
      </c>
      <c r="J162" t="s">
        <v>17</v>
      </c>
      <c r="K162">
        <v>0.18</v>
      </c>
      <c r="L162" t="s">
        <v>27</v>
      </c>
      <c r="M162" t="s">
        <v>22</v>
      </c>
      <c r="N162" t="s">
        <v>36</v>
      </c>
    </row>
    <row r="163" spans="1:14" x14ac:dyDescent="0.3">
      <c r="A163">
        <v>1096</v>
      </c>
      <c r="B163" s="1">
        <v>45012</v>
      </c>
      <c r="C163" t="s">
        <v>42</v>
      </c>
      <c r="D163" t="s">
        <v>15</v>
      </c>
      <c r="E163">
        <v>4821.3100000000004</v>
      </c>
      <c r="F163">
        <v>48</v>
      </c>
      <c r="G163" t="s">
        <v>29</v>
      </c>
      <c r="H163">
        <v>2449.21</v>
      </c>
      <c r="I163">
        <v>2714.12</v>
      </c>
      <c r="J163" t="s">
        <v>30</v>
      </c>
      <c r="K163">
        <v>0.01</v>
      </c>
      <c r="L163" t="s">
        <v>31</v>
      </c>
      <c r="M163" t="s">
        <v>19</v>
      </c>
      <c r="N163" t="s">
        <v>49</v>
      </c>
    </row>
    <row r="164" spans="1:14" x14ac:dyDescent="0.3">
      <c r="A164">
        <v>1004</v>
      </c>
      <c r="B164" s="1">
        <v>45248</v>
      </c>
      <c r="C164" t="s">
        <v>42</v>
      </c>
      <c r="D164" t="s">
        <v>34</v>
      </c>
      <c r="E164">
        <v>7211.48</v>
      </c>
      <c r="F164">
        <v>1</v>
      </c>
      <c r="G164" t="s">
        <v>26</v>
      </c>
      <c r="H164">
        <v>182.99</v>
      </c>
      <c r="I164">
        <v>211.18</v>
      </c>
      <c r="J164" t="s">
        <v>17</v>
      </c>
      <c r="K164">
        <v>0.27</v>
      </c>
      <c r="L164" t="s">
        <v>27</v>
      </c>
      <c r="M164" t="s">
        <v>22</v>
      </c>
      <c r="N164" t="s">
        <v>52</v>
      </c>
    </row>
    <row r="165" spans="1:14" x14ac:dyDescent="0.3">
      <c r="A165">
        <v>1094</v>
      </c>
      <c r="B165" s="1">
        <v>44936</v>
      </c>
      <c r="C165" t="s">
        <v>38</v>
      </c>
      <c r="D165" t="s">
        <v>15</v>
      </c>
      <c r="E165">
        <v>2548.67</v>
      </c>
      <c r="F165">
        <v>25</v>
      </c>
      <c r="G165" t="s">
        <v>35</v>
      </c>
      <c r="H165">
        <v>1933.39</v>
      </c>
      <c r="I165">
        <v>1982.92</v>
      </c>
      <c r="J165" t="s">
        <v>30</v>
      </c>
      <c r="K165">
        <v>0.17</v>
      </c>
      <c r="L165" t="s">
        <v>27</v>
      </c>
      <c r="M165" t="s">
        <v>19</v>
      </c>
      <c r="N165" t="s">
        <v>40</v>
      </c>
    </row>
    <row r="166" spans="1:14" x14ac:dyDescent="0.3">
      <c r="A166">
        <v>1023</v>
      </c>
      <c r="B166" s="1">
        <v>44931</v>
      </c>
      <c r="C166" t="s">
        <v>42</v>
      </c>
      <c r="D166" t="s">
        <v>34</v>
      </c>
      <c r="E166">
        <v>6442.09</v>
      </c>
      <c r="F166">
        <v>2</v>
      </c>
      <c r="G166" t="s">
        <v>29</v>
      </c>
      <c r="H166">
        <v>575.32000000000005</v>
      </c>
      <c r="I166">
        <v>914.77</v>
      </c>
      <c r="J166" t="s">
        <v>17</v>
      </c>
      <c r="K166">
        <v>0.26</v>
      </c>
      <c r="L166" t="s">
        <v>27</v>
      </c>
      <c r="M166" t="s">
        <v>19</v>
      </c>
      <c r="N166" t="s">
        <v>52</v>
      </c>
    </row>
    <row r="167" spans="1:14" x14ac:dyDescent="0.3">
      <c r="A167">
        <v>1015</v>
      </c>
      <c r="B167" s="1">
        <v>45049</v>
      </c>
      <c r="C167" t="s">
        <v>24</v>
      </c>
      <c r="D167" t="s">
        <v>25</v>
      </c>
      <c r="E167">
        <v>6699.34</v>
      </c>
      <c r="F167">
        <v>30</v>
      </c>
      <c r="G167" t="s">
        <v>26</v>
      </c>
      <c r="H167">
        <v>2680.22</v>
      </c>
      <c r="I167">
        <v>3027.9199999999996</v>
      </c>
      <c r="J167" t="s">
        <v>17</v>
      </c>
      <c r="K167">
        <v>0.25</v>
      </c>
      <c r="L167" t="s">
        <v>27</v>
      </c>
      <c r="M167" t="s">
        <v>19</v>
      </c>
      <c r="N167" t="s">
        <v>28</v>
      </c>
    </row>
    <row r="168" spans="1:14" x14ac:dyDescent="0.3">
      <c r="A168">
        <v>1043</v>
      </c>
      <c r="B168" s="1">
        <v>45256</v>
      </c>
      <c r="C168" t="s">
        <v>14</v>
      </c>
      <c r="D168" t="s">
        <v>25</v>
      </c>
      <c r="E168">
        <v>1710.73</v>
      </c>
      <c r="F168">
        <v>3</v>
      </c>
      <c r="G168" t="s">
        <v>35</v>
      </c>
      <c r="H168">
        <v>2009.1</v>
      </c>
      <c r="I168">
        <v>2186.42</v>
      </c>
      <c r="J168" t="s">
        <v>30</v>
      </c>
      <c r="K168">
        <v>0.25</v>
      </c>
      <c r="L168" t="s">
        <v>27</v>
      </c>
      <c r="M168" t="s">
        <v>19</v>
      </c>
      <c r="N168" t="s">
        <v>32</v>
      </c>
    </row>
    <row r="169" spans="1:14" x14ac:dyDescent="0.3">
      <c r="A169">
        <v>1029</v>
      </c>
      <c r="B169" s="1">
        <v>45279</v>
      </c>
      <c r="C169" t="s">
        <v>38</v>
      </c>
      <c r="D169" t="s">
        <v>15</v>
      </c>
      <c r="E169">
        <v>5694.34</v>
      </c>
      <c r="F169">
        <v>21</v>
      </c>
      <c r="G169" t="s">
        <v>26</v>
      </c>
      <c r="H169">
        <v>3085.1</v>
      </c>
      <c r="I169">
        <v>3200.75</v>
      </c>
      <c r="J169" t="s">
        <v>30</v>
      </c>
      <c r="K169">
        <v>0.21</v>
      </c>
      <c r="L169" t="s">
        <v>18</v>
      </c>
      <c r="M169" t="s">
        <v>22</v>
      </c>
      <c r="N169" t="s">
        <v>40</v>
      </c>
    </row>
    <row r="170" spans="1:14" x14ac:dyDescent="0.3">
      <c r="A170">
        <v>1036</v>
      </c>
      <c r="B170" s="1">
        <v>45044</v>
      </c>
      <c r="C170" t="s">
        <v>33</v>
      </c>
      <c r="D170" t="s">
        <v>21</v>
      </c>
      <c r="E170">
        <v>7739.11</v>
      </c>
      <c r="F170">
        <v>25</v>
      </c>
      <c r="G170" t="s">
        <v>16</v>
      </c>
      <c r="H170">
        <v>4037.73</v>
      </c>
      <c r="I170">
        <v>4446.45</v>
      </c>
      <c r="J170" t="s">
        <v>17</v>
      </c>
      <c r="K170">
        <v>0.09</v>
      </c>
      <c r="L170" t="s">
        <v>27</v>
      </c>
      <c r="M170" t="s">
        <v>19</v>
      </c>
      <c r="N170" t="s">
        <v>37</v>
      </c>
    </row>
    <row r="171" spans="1:14" x14ac:dyDescent="0.3">
      <c r="A171">
        <v>1013</v>
      </c>
      <c r="B171" s="1">
        <v>45220</v>
      </c>
      <c r="C171" t="s">
        <v>24</v>
      </c>
      <c r="D171" t="s">
        <v>34</v>
      </c>
      <c r="E171">
        <v>5039.07</v>
      </c>
      <c r="F171">
        <v>20</v>
      </c>
      <c r="G171" t="s">
        <v>35</v>
      </c>
      <c r="H171">
        <v>1533.36</v>
      </c>
      <c r="I171">
        <v>1649.7399999999998</v>
      </c>
      <c r="J171" t="s">
        <v>17</v>
      </c>
      <c r="K171">
        <v>0.1</v>
      </c>
      <c r="L171" t="s">
        <v>27</v>
      </c>
      <c r="M171" t="s">
        <v>19</v>
      </c>
      <c r="N171" t="s">
        <v>50</v>
      </c>
    </row>
    <row r="172" spans="1:14" x14ac:dyDescent="0.3">
      <c r="A172">
        <v>1032</v>
      </c>
      <c r="B172" s="1">
        <v>45085</v>
      </c>
      <c r="C172" t="s">
        <v>38</v>
      </c>
      <c r="D172" t="s">
        <v>21</v>
      </c>
      <c r="E172">
        <v>219.82</v>
      </c>
      <c r="F172">
        <v>49</v>
      </c>
      <c r="G172" t="s">
        <v>35</v>
      </c>
      <c r="H172">
        <v>4812.41</v>
      </c>
      <c r="I172">
        <v>5088</v>
      </c>
      <c r="J172" t="s">
        <v>17</v>
      </c>
      <c r="K172">
        <v>0.09</v>
      </c>
      <c r="L172" t="s">
        <v>31</v>
      </c>
      <c r="M172" t="s">
        <v>19</v>
      </c>
      <c r="N172" t="s">
        <v>41</v>
      </c>
    </row>
    <row r="173" spans="1:14" x14ac:dyDescent="0.3">
      <c r="A173">
        <v>1071</v>
      </c>
      <c r="B173" s="1">
        <v>45229</v>
      </c>
      <c r="C173" t="s">
        <v>42</v>
      </c>
      <c r="D173" t="s">
        <v>21</v>
      </c>
      <c r="E173">
        <v>189.48</v>
      </c>
      <c r="F173">
        <v>22</v>
      </c>
      <c r="G173" t="s">
        <v>35</v>
      </c>
      <c r="H173">
        <v>2701.39</v>
      </c>
      <c r="I173">
        <v>3185.81</v>
      </c>
      <c r="J173" t="s">
        <v>30</v>
      </c>
      <c r="K173">
        <v>0.01</v>
      </c>
      <c r="L173" t="s">
        <v>27</v>
      </c>
      <c r="M173" t="s">
        <v>19</v>
      </c>
      <c r="N173" t="s">
        <v>51</v>
      </c>
    </row>
    <row r="174" spans="1:14" x14ac:dyDescent="0.3">
      <c r="A174">
        <v>1059</v>
      </c>
      <c r="B174" s="1">
        <v>45154</v>
      </c>
      <c r="C174" t="s">
        <v>42</v>
      </c>
      <c r="D174" t="s">
        <v>21</v>
      </c>
      <c r="E174">
        <v>3634.59</v>
      </c>
      <c r="F174">
        <v>21</v>
      </c>
      <c r="G174" t="s">
        <v>29</v>
      </c>
      <c r="H174">
        <v>3110.54</v>
      </c>
      <c r="I174">
        <v>3192.99</v>
      </c>
      <c r="J174" t="s">
        <v>30</v>
      </c>
      <c r="K174">
        <v>0.17</v>
      </c>
      <c r="L174" t="s">
        <v>31</v>
      </c>
      <c r="M174" t="s">
        <v>19</v>
      </c>
      <c r="N174" t="s">
        <v>51</v>
      </c>
    </row>
    <row r="175" spans="1:14" x14ac:dyDescent="0.3">
      <c r="A175">
        <v>1086</v>
      </c>
      <c r="B175" s="1">
        <v>45291</v>
      </c>
      <c r="C175" t="s">
        <v>42</v>
      </c>
      <c r="D175" t="s">
        <v>25</v>
      </c>
      <c r="E175">
        <v>9269.32</v>
      </c>
      <c r="F175">
        <v>33</v>
      </c>
      <c r="G175" t="s">
        <v>29</v>
      </c>
      <c r="H175">
        <v>3419.33</v>
      </c>
      <c r="I175">
        <v>3890.3599999999997</v>
      </c>
      <c r="J175" t="s">
        <v>17</v>
      </c>
      <c r="K175">
        <v>0.21</v>
      </c>
      <c r="L175" t="s">
        <v>18</v>
      </c>
      <c r="M175" t="s">
        <v>22</v>
      </c>
      <c r="N175" t="s">
        <v>43</v>
      </c>
    </row>
    <row r="176" spans="1:14" x14ac:dyDescent="0.3">
      <c r="A176">
        <v>1028</v>
      </c>
      <c r="B176" s="1">
        <v>45142</v>
      </c>
      <c r="C176" t="s">
        <v>42</v>
      </c>
      <c r="D176" t="s">
        <v>15</v>
      </c>
      <c r="E176">
        <v>2363.9</v>
      </c>
      <c r="F176">
        <v>38</v>
      </c>
      <c r="G176" t="s">
        <v>29</v>
      </c>
      <c r="H176">
        <v>3350.32</v>
      </c>
      <c r="I176">
        <v>3449.94</v>
      </c>
      <c r="J176" t="s">
        <v>30</v>
      </c>
      <c r="K176">
        <v>0.26</v>
      </c>
      <c r="L176" t="s">
        <v>18</v>
      </c>
      <c r="M176" t="s">
        <v>19</v>
      </c>
      <c r="N176" t="s">
        <v>49</v>
      </c>
    </row>
    <row r="177" spans="1:14" x14ac:dyDescent="0.3">
      <c r="A177">
        <v>1066</v>
      </c>
      <c r="B177" s="1">
        <v>45110</v>
      </c>
      <c r="C177" t="s">
        <v>33</v>
      </c>
      <c r="D177" t="s">
        <v>15</v>
      </c>
      <c r="E177">
        <v>6380.2</v>
      </c>
      <c r="F177">
        <v>15</v>
      </c>
      <c r="G177" t="s">
        <v>16</v>
      </c>
      <c r="H177">
        <v>2579.31</v>
      </c>
      <c r="I177">
        <v>2867.36</v>
      </c>
      <c r="J177" t="s">
        <v>17</v>
      </c>
      <c r="K177">
        <v>0.04</v>
      </c>
      <c r="L177" t="s">
        <v>27</v>
      </c>
      <c r="M177" t="s">
        <v>22</v>
      </c>
      <c r="N177" t="s">
        <v>53</v>
      </c>
    </row>
    <row r="178" spans="1:14" x14ac:dyDescent="0.3">
      <c r="A178">
        <v>1042</v>
      </c>
      <c r="B178" s="1">
        <v>44941</v>
      </c>
      <c r="C178" t="s">
        <v>24</v>
      </c>
      <c r="D178" t="s">
        <v>25</v>
      </c>
      <c r="E178">
        <v>2298.5500000000002</v>
      </c>
      <c r="F178">
        <v>46</v>
      </c>
      <c r="G178" t="s">
        <v>16</v>
      </c>
      <c r="H178">
        <v>2172.38</v>
      </c>
      <c r="I178">
        <v>2367.11</v>
      </c>
      <c r="J178" t="s">
        <v>30</v>
      </c>
      <c r="K178">
        <v>0.16</v>
      </c>
      <c r="L178" t="s">
        <v>18</v>
      </c>
      <c r="M178" t="s">
        <v>22</v>
      </c>
      <c r="N178" t="s">
        <v>28</v>
      </c>
    </row>
    <row r="179" spans="1:14" x14ac:dyDescent="0.3">
      <c r="A179">
        <v>1045</v>
      </c>
      <c r="B179" s="1">
        <v>45083</v>
      </c>
      <c r="C179" t="s">
        <v>14</v>
      </c>
      <c r="D179" t="s">
        <v>25</v>
      </c>
      <c r="E179">
        <v>3284.53</v>
      </c>
      <c r="F179">
        <v>15</v>
      </c>
      <c r="G179" t="s">
        <v>35</v>
      </c>
      <c r="H179">
        <v>316.22000000000003</v>
      </c>
      <c r="I179">
        <v>799.04</v>
      </c>
      <c r="J179" t="s">
        <v>30</v>
      </c>
      <c r="K179">
        <v>0</v>
      </c>
      <c r="L179" t="s">
        <v>27</v>
      </c>
      <c r="M179" t="s">
        <v>19</v>
      </c>
      <c r="N179" t="s">
        <v>32</v>
      </c>
    </row>
    <row r="180" spans="1:14" x14ac:dyDescent="0.3">
      <c r="A180">
        <v>1062</v>
      </c>
      <c r="B180" s="1">
        <v>45062</v>
      </c>
      <c r="C180" t="s">
        <v>33</v>
      </c>
      <c r="D180" t="s">
        <v>15</v>
      </c>
      <c r="E180">
        <v>8495.6200000000008</v>
      </c>
      <c r="F180">
        <v>46</v>
      </c>
      <c r="G180" t="s">
        <v>16</v>
      </c>
      <c r="H180">
        <v>159.32</v>
      </c>
      <c r="I180">
        <v>303.36</v>
      </c>
      <c r="J180" t="s">
        <v>30</v>
      </c>
      <c r="K180">
        <v>0.03</v>
      </c>
      <c r="L180" t="s">
        <v>18</v>
      </c>
      <c r="M180" t="s">
        <v>22</v>
      </c>
      <c r="N180" t="s">
        <v>53</v>
      </c>
    </row>
    <row r="181" spans="1:14" x14ac:dyDescent="0.3">
      <c r="A181">
        <v>1057</v>
      </c>
      <c r="B181" s="1">
        <v>45187</v>
      </c>
      <c r="C181" t="s">
        <v>33</v>
      </c>
      <c r="D181" t="s">
        <v>21</v>
      </c>
      <c r="E181">
        <v>7315.73</v>
      </c>
      <c r="F181">
        <v>25</v>
      </c>
      <c r="G181" t="s">
        <v>26</v>
      </c>
      <c r="H181">
        <v>1821.91</v>
      </c>
      <c r="I181">
        <v>2027.74</v>
      </c>
      <c r="J181" t="s">
        <v>30</v>
      </c>
      <c r="K181">
        <v>0.02</v>
      </c>
      <c r="L181" t="s">
        <v>27</v>
      </c>
      <c r="M181" t="s">
        <v>22</v>
      </c>
      <c r="N181" t="s">
        <v>37</v>
      </c>
    </row>
    <row r="182" spans="1:14" x14ac:dyDescent="0.3">
      <c r="A182">
        <v>1006</v>
      </c>
      <c r="B182" s="1">
        <v>45083</v>
      </c>
      <c r="C182" t="s">
        <v>14</v>
      </c>
      <c r="D182" t="s">
        <v>34</v>
      </c>
      <c r="E182">
        <v>1044.45</v>
      </c>
      <c r="F182">
        <v>21</v>
      </c>
      <c r="G182" t="s">
        <v>35</v>
      </c>
      <c r="H182">
        <v>1701.62</v>
      </c>
      <c r="I182">
        <v>2193.2199999999998</v>
      </c>
      <c r="J182" t="s">
        <v>30</v>
      </c>
      <c r="K182">
        <v>0.22</v>
      </c>
      <c r="L182" t="s">
        <v>27</v>
      </c>
      <c r="M182" t="s">
        <v>22</v>
      </c>
      <c r="N182" t="s">
        <v>46</v>
      </c>
    </row>
    <row r="183" spans="1:14" x14ac:dyDescent="0.3">
      <c r="A183">
        <v>1028</v>
      </c>
      <c r="B183" s="1">
        <v>44973</v>
      </c>
      <c r="C183" t="s">
        <v>14</v>
      </c>
      <c r="D183" t="s">
        <v>34</v>
      </c>
      <c r="E183">
        <v>4344.1499999999996</v>
      </c>
      <c r="F183">
        <v>24</v>
      </c>
      <c r="G183" t="s">
        <v>35</v>
      </c>
      <c r="H183">
        <v>1969.09</v>
      </c>
      <c r="I183">
        <v>2241.96</v>
      </c>
      <c r="J183" t="s">
        <v>17</v>
      </c>
      <c r="K183">
        <v>0.02</v>
      </c>
      <c r="L183" t="s">
        <v>31</v>
      </c>
      <c r="M183" t="s">
        <v>19</v>
      </c>
      <c r="N183" t="s">
        <v>46</v>
      </c>
    </row>
    <row r="184" spans="1:14" x14ac:dyDescent="0.3">
      <c r="A184">
        <v>1028</v>
      </c>
      <c r="B184" s="1">
        <v>45250</v>
      </c>
      <c r="C184" t="s">
        <v>42</v>
      </c>
      <c r="D184" t="s">
        <v>34</v>
      </c>
      <c r="E184">
        <v>388.78</v>
      </c>
      <c r="F184">
        <v>5</v>
      </c>
      <c r="G184" t="s">
        <v>26</v>
      </c>
      <c r="H184">
        <v>734.92</v>
      </c>
      <c r="I184">
        <v>991.21</v>
      </c>
      <c r="J184" t="s">
        <v>17</v>
      </c>
      <c r="K184">
        <v>0.21</v>
      </c>
      <c r="L184" t="s">
        <v>31</v>
      </c>
      <c r="M184" t="s">
        <v>19</v>
      </c>
      <c r="N184" t="s">
        <v>52</v>
      </c>
    </row>
    <row r="185" spans="1:14" x14ac:dyDescent="0.3">
      <c r="A185">
        <v>1044</v>
      </c>
      <c r="B185" s="1">
        <v>45258</v>
      </c>
      <c r="C185" t="s">
        <v>33</v>
      </c>
      <c r="D185" t="s">
        <v>21</v>
      </c>
      <c r="E185">
        <v>4860.8100000000004</v>
      </c>
      <c r="F185">
        <v>6</v>
      </c>
      <c r="G185" t="s">
        <v>35</v>
      </c>
      <c r="H185">
        <v>3703.93</v>
      </c>
      <c r="I185">
        <v>3840.24</v>
      </c>
      <c r="J185" t="s">
        <v>30</v>
      </c>
      <c r="K185">
        <v>7.0000000000000007E-2</v>
      </c>
      <c r="L185" t="s">
        <v>31</v>
      </c>
      <c r="M185" t="s">
        <v>19</v>
      </c>
      <c r="N185" t="s">
        <v>37</v>
      </c>
    </row>
    <row r="186" spans="1:14" x14ac:dyDescent="0.3">
      <c r="A186">
        <v>1084</v>
      </c>
      <c r="B186" s="1">
        <v>45099</v>
      </c>
      <c r="C186" t="s">
        <v>38</v>
      </c>
      <c r="D186" t="s">
        <v>15</v>
      </c>
      <c r="E186">
        <v>6658.1</v>
      </c>
      <c r="F186">
        <v>49</v>
      </c>
      <c r="G186" t="s">
        <v>16</v>
      </c>
      <c r="H186">
        <v>4291.97</v>
      </c>
      <c r="I186">
        <v>4645.6400000000003</v>
      </c>
      <c r="J186" t="s">
        <v>17</v>
      </c>
      <c r="K186">
        <v>0.26</v>
      </c>
      <c r="L186" t="s">
        <v>31</v>
      </c>
      <c r="M186" t="s">
        <v>19</v>
      </c>
      <c r="N186" t="s">
        <v>40</v>
      </c>
    </row>
    <row r="187" spans="1:14" x14ac:dyDescent="0.3">
      <c r="A187">
        <v>1030</v>
      </c>
      <c r="B187" s="1">
        <v>45056</v>
      </c>
      <c r="C187" t="s">
        <v>14</v>
      </c>
      <c r="D187" t="s">
        <v>25</v>
      </c>
      <c r="E187">
        <v>1273.18</v>
      </c>
      <c r="F187">
        <v>43</v>
      </c>
      <c r="G187" t="s">
        <v>29</v>
      </c>
      <c r="H187">
        <v>4696.6400000000003</v>
      </c>
      <c r="I187">
        <v>4713.68</v>
      </c>
      <c r="J187" t="s">
        <v>17</v>
      </c>
      <c r="K187">
        <v>0.24</v>
      </c>
      <c r="L187" t="s">
        <v>27</v>
      </c>
      <c r="M187" t="s">
        <v>19</v>
      </c>
      <c r="N187" t="s">
        <v>32</v>
      </c>
    </row>
    <row r="188" spans="1:14" x14ac:dyDescent="0.3">
      <c r="A188">
        <v>1062</v>
      </c>
      <c r="B188" s="1">
        <v>45021</v>
      </c>
      <c r="C188" t="s">
        <v>14</v>
      </c>
      <c r="D188" t="s">
        <v>15</v>
      </c>
      <c r="E188">
        <v>2959.96</v>
      </c>
      <c r="F188">
        <v>48</v>
      </c>
      <c r="G188" t="s">
        <v>26</v>
      </c>
      <c r="H188">
        <v>2487.19</v>
      </c>
      <c r="I188">
        <v>2521.4500000000003</v>
      </c>
      <c r="J188" t="s">
        <v>30</v>
      </c>
      <c r="K188">
        <v>0.28999999999999998</v>
      </c>
      <c r="L188" t="s">
        <v>18</v>
      </c>
      <c r="M188" t="s">
        <v>19</v>
      </c>
      <c r="N188" t="s">
        <v>20</v>
      </c>
    </row>
    <row r="189" spans="1:14" x14ac:dyDescent="0.3">
      <c r="A189">
        <v>1075</v>
      </c>
      <c r="B189" s="1">
        <v>45041</v>
      </c>
      <c r="C189" t="s">
        <v>24</v>
      </c>
      <c r="D189" t="s">
        <v>21</v>
      </c>
      <c r="E189">
        <v>4038.58</v>
      </c>
      <c r="F189">
        <v>44</v>
      </c>
      <c r="G189" t="s">
        <v>16</v>
      </c>
      <c r="H189">
        <v>3519.29</v>
      </c>
      <c r="I189">
        <v>3822.98</v>
      </c>
      <c r="J189" t="s">
        <v>17</v>
      </c>
      <c r="K189">
        <v>0.27</v>
      </c>
      <c r="L189" t="s">
        <v>27</v>
      </c>
      <c r="M189" t="s">
        <v>19</v>
      </c>
      <c r="N189" t="s">
        <v>47</v>
      </c>
    </row>
    <row r="190" spans="1:14" x14ac:dyDescent="0.3">
      <c r="A190">
        <v>1092</v>
      </c>
      <c r="B190" s="1">
        <v>45169</v>
      </c>
      <c r="C190" t="s">
        <v>38</v>
      </c>
      <c r="D190" t="s">
        <v>25</v>
      </c>
      <c r="E190">
        <v>9203.36</v>
      </c>
      <c r="F190">
        <v>47</v>
      </c>
      <c r="G190" t="s">
        <v>26</v>
      </c>
      <c r="H190">
        <v>4284.9799999999996</v>
      </c>
      <c r="I190">
        <v>4462.3999999999996</v>
      </c>
      <c r="J190" t="s">
        <v>30</v>
      </c>
      <c r="K190">
        <v>0.28000000000000003</v>
      </c>
      <c r="L190" t="s">
        <v>31</v>
      </c>
      <c r="M190" t="s">
        <v>22</v>
      </c>
      <c r="N190" t="s">
        <v>39</v>
      </c>
    </row>
    <row r="191" spans="1:14" x14ac:dyDescent="0.3">
      <c r="A191">
        <v>1089</v>
      </c>
      <c r="B191" s="1">
        <v>45218</v>
      </c>
      <c r="C191" t="s">
        <v>38</v>
      </c>
      <c r="D191" t="s">
        <v>21</v>
      </c>
      <c r="E191">
        <v>9933.2199999999993</v>
      </c>
      <c r="F191">
        <v>23</v>
      </c>
      <c r="G191" t="s">
        <v>26</v>
      </c>
      <c r="H191">
        <v>2120.54</v>
      </c>
      <c r="I191">
        <v>2597.67</v>
      </c>
      <c r="J191" t="s">
        <v>17</v>
      </c>
      <c r="K191">
        <v>0.26</v>
      </c>
      <c r="L191" t="s">
        <v>31</v>
      </c>
      <c r="M191" t="s">
        <v>22</v>
      </c>
      <c r="N191" t="s">
        <v>41</v>
      </c>
    </row>
    <row r="192" spans="1:14" x14ac:dyDescent="0.3">
      <c r="A192">
        <v>1062</v>
      </c>
      <c r="B192" s="1">
        <v>45208</v>
      </c>
      <c r="C192" t="s">
        <v>14</v>
      </c>
      <c r="D192" t="s">
        <v>34</v>
      </c>
      <c r="E192">
        <v>544.62</v>
      </c>
      <c r="F192">
        <v>4</v>
      </c>
      <c r="G192" t="s">
        <v>35</v>
      </c>
      <c r="H192">
        <v>1581.59</v>
      </c>
      <c r="I192">
        <v>2034.1499999999999</v>
      </c>
      <c r="J192" t="s">
        <v>17</v>
      </c>
      <c r="K192">
        <v>0.21</v>
      </c>
      <c r="L192" t="s">
        <v>18</v>
      </c>
      <c r="M192" t="s">
        <v>19</v>
      </c>
      <c r="N192" t="s">
        <v>46</v>
      </c>
    </row>
    <row r="193" spans="1:14" x14ac:dyDescent="0.3">
      <c r="A193">
        <v>1097</v>
      </c>
      <c r="B193" s="1">
        <v>45225</v>
      </c>
      <c r="C193" t="s">
        <v>42</v>
      </c>
      <c r="D193" t="s">
        <v>34</v>
      </c>
      <c r="E193">
        <v>7633.98</v>
      </c>
      <c r="F193">
        <v>27</v>
      </c>
      <c r="G193" t="s">
        <v>35</v>
      </c>
      <c r="H193">
        <v>4686.79</v>
      </c>
      <c r="I193">
        <v>5046.51</v>
      </c>
      <c r="J193" t="s">
        <v>17</v>
      </c>
      <c r="K193">
        <v>0.05</v>
      </c>
      <c r="L193" t="s">
        <v>31</v>
      </c>
      <c r="M193" t="s">
        <v>22</v>
      </c>
      <c r="N193" t="s">
        <v>52</v>
      </c>
    </row>
    <row r="194" spans="1:14" x14ac:dyDescent="0.3">
      <c r="A194">
        <v>1001</v>
      </c>
      <c r="B194" s="1">
        <v>45209</v>
      </c>
      <c r="C194" t="s">
        <v>24</v>
      </c>
      <c r="D194" t="s">
        <v>21</v>
      </c>
      <c r="E194">
        <v>3780.07</v>
      </c>
      <c r="F194">
        <v>18</v>
      </c>
      <c r="G194" t="s">
        <v>16</v>
      </c>
      <c r="H194">
        <v>2602.6</v>
      </c>
      <c r="I194">
        <v>3013.49</v>
      </c>
      <c r="J194" t="s">
        <v>17</v>
      </c>
      <c r="K194">
        <v>0.08</v>
      </c>
      <c r="L194" t="s">
        <v>27</v>
      </c>
      <c r="M194" t="s">
        <v>19</v>
      </c>
      <c r="N194" t="s">
        <v>47</v>
      </c>
    </row>
    <row r="195" spans="1:14" x14ac:dyDescent="0.3">
      <c r="A195">
        <v>1027</v>
      </c>
      <c r="B195" s="1">
        <v>44995</v>
      </c>
      <c r="C195" t="s">
        <v>38</v>
      </c>
      <c r="D195" t="s">
        <v>25</v>
      </c>
      <c r="E195">
        <v>3985.34</v>
      </c>
      <c r="F195">
        <v>21</v>
      </c>
      <c r="G195" t="s">
        <v>26</v>
      </c>
      <c r="H195">
        <v>2511.41</v>
      </c>
      <c r="I195">
        <v>2848.3999999999996</v>
      </c>
      <c r="J195" t="s">
        <v>17</v>
      </c>
      <c r="K195">
        <v>0.06</v>
      </c>
      <c r="L195" t="s">
        <v>27</v>
      </c>
      <c r="M195" t="s">
        <v>19</v>
      </c>
      <c r="N195" t="s">
        <v>39</v>
      </c>
    </row>
    <row r="196" spans="1:14" x14ac:dyDescent="0.3">
      <c r="A196">
        <v>1062</v>
      </c>
      <c r="B196" s="1">
        <v>45074</v>
      </c>
      <c r="C196" t="s">
        <v>14</v>
      </c>
      <c r="D196" t="s">
        <v>25</v>
      </c>
      <c r="E196">
        <v>7567.22</v>
      </c>
      <c r="F196">
        <v>28</v>
      </c>
      <c r="G196" t="s">
        <v>35</v>
      </c>
      <c r="H196">
        <v>933.16</v>
      </c>
      <c r="I196">
        <v>1004.6999999999999</v>
      </c>
      <c r="J196" t="s">
        <v>17</v>
      </c>
      <c r="K196">
        <v>0.18</v>
      </c>
      <c r="L196" t="s">
        <v>27</v>
      </c>
      <c r="M196" t="s">
        <v>19</v>
      </c>
      <c r="N196" t="s">
        <v>32</v>
      </c>
    </row>
    <row r="197" spans="1:14" x14ac:dyDescent="0.3">
      <c r="A197">
        <v>1077</v>
      </c>
      <c r="B197" s="1">
        <v>44937</v>
      </c>
      <c r="C197" t="s">
        <v>38</v>
      </c>
      <c r="D197" t="s">
        <v>15</v>
      </c>
      <c r="E197">
        <v>9192.42</v>
      </c>
      <c r="F197">
        <v>35</v>
      </c>
      <c r="G197" t="s">
        <v>35</v>
      </c>
      <c r="H197">
        <v>585.37</v>
      </c>
      <c r="I197">
        <v>970.49</v>
      </c>
      <c r="J197" t="s">
        <v>17</v>
      </c>
      <c r="K197">
        <v>0.15</v>
      </c>
      <c r="L197" t="s">
        <v>27</v>
      </c>
      <c r="M197" t="s">
        <v>22</v>
      </c>
      <c r="N197" t="s">
        <v>40</v>
      </c>
    </row>
    <row r="198" spans="1:14" x14ac:dyDescent="0.3">
      <c r="A198">
        <v>1003</v>
      </c>
      <c r="B198" s="1">
        <v>45180</v>
      </c>
      <c r="C198" t="s">
        <v>24</v>
      </c>
      <c r="D198" t="s">
        <v>34</v>
      </c>
      <c r="E198">
        <v>9514.19</v>
      </c>
      <c r="F198">
        <v>22</v>
      </c>
      <c r="G198" t="s">
        <v>26</v>
      </c>
      <c r="H198">
        <v>4218.43</v>
      </c>
      <c r="I198">
        <v>4331.42</v>
      </c>
      <c r="J198" t="s">
        <v>30</v>
      </c>
      <c r="K198">
        <v>0.26</v>
      </c>
      <c r="L198" t="s">
        <v>27</v>
      </c>
      <c r="M198" t="s">
        <v>19</v>
      </c>
      <c r="N198" t="s">
        <v>50</v>
      </c>
    </row>
    <row r="199" spans="1:14" x14ac:dyDescent="0.3">
      <c r="A199">
        <v>1070</v>
      </c>
      <c r="B199" s="1">
        <v>45256</v>
      </c>
      <c r="C199" t="s">
        <v>24</v>
      </c>
      <c r="D199" t="s">
        <v>15</v>
      </c>
      <c r="E199">
        <v>5813.51</v>
      </c>
      <c r="F199">
        <v>40</v>
      </c>
      <c r="G199" t="s">
        <v>16</v>
      </c>
      <c r="H199">
        <v>3089.96</v>
      </c>
      <c r="I199">
        <v>3258.45</v>
      </c>
      <c r="J199" t="s">
        <v>30</v>
      </c>
      <c r="K199">
        <v>0.28999999999999998</v>
      </c>
      <c r="L199" t="s">
        <v>18</v>
      </c>
      <c r="M199" t="s">
        <v>19</v>
      </c>
      <c r="N199" t="s">
        <v>45</v>
      </c>
    </row>
    <row r="200" spans="1:14" x14ac:dyDescent="0.3">
      <c r="A200">
        <v>1072</v>
      </c>
      <c r="B200" s="1">
        <v>45286</v>
      </c>
      <c r="C200" t="s">
        <v>33</v>
      </c>
      <c r="D200" t="s">
        <v>15</v>
      </c>
      <c r="E200">
        <v>3635.5</v>
      </c>
      <c r="F200">
        <v>23</v>
      </c>
      <c r="G200" t="s">
        <v>16</v>
      </c>
      <c r="H200">
        <v>1662.83</v>
      </c>
      <c r="I200">
        <v>2074.25</v>
      </c>
      <c r="J200" t="s">
        <v>30</v>
      </c>
      <c r="K200">
        <v>0.12</v>
      </c>
      <c r="L200" t="s">
        <v>27</v>
      </c>
      <c r="M200" t="s">
        <v>19</v>
      </c>
      <c r="N200" t="s">
        <v>53</v>
      </c>
    </row>
    <row r="201" spans="1:14" x14ac:dyDescent="0.3">
      <c r="A201">
        <v>1027</v>
      </c>
      <c r="B201" s="1">
        <v>44964</v>
      </c>
      <c r="C201" t="s">
        <v>14</v>
      </c>
      <c r="D201" t="s">
        <v>21</v>
      </c>
      <c r="E201">
        <v>7896.74</v>
      </c>
      <c r="F201">
        <v>3</v>
      </c>
      <c r="G201" t="s">
        <v>26</v>
      </c>
      <c r="H201">
        <v>999.09</v>
      </c>
      <c r="I201">
        <v>1271.99</v>
      </c>
      <c r="J201" t="s">
        <v>30</v>
      </c>
      <c r="K201">
        <v>0.15</v>
      </c>
      <c r="L201" t="s">
        <v>31</v>
      </c>
      <c r="M201" t="s">
        <v>19</v>
      </c>
      <c r="N201" t="s">
        <v>23</v>
      </c>
    </row>
    <row r="202" spans="1:14" x14ac:dyDescent="0.3">
      <c r="A202">
        <v>1009</v>
      </c>
      <c r="B202" s="1">
        <v>45060</v>
      </c>
      <c r="C202" t="s">
        <v>24</v>
      </c>
      <c r="D202" t="s">
        <v>21</v>
      </c>
      <c r="E202">
        <v>2584.91</v>
      </c>
      <c r="F202">
        <v>40</v>
      </c>
      <c r="G202" t="s">
        <v>16</v>
      </c>
      <c r="H202">
        <v>2799.71</v>
      </c>
      <c r="I202">
        <v>3231.08</v>
      </c>
      <c r="J202" t="s">
        <v>17</v>
      </c>
      <c r="K202">
        <v>0.28999999999999998</v>
      </c>
      <c r="L202" t="s">
        <v>31</v>
      </c>
      <c r="M202" t="s">
        <v>22</v>
      </c>
      <c r="N202" t="s">
        <v>47</v>
      </c>
    </row>
    <row r="203" spans="1:14" x14ac:dyDescent="0.3">
      <c r="A203">
        <v>1062</v>
      </c>
      <c r="B203" s="1">
        <v>45126</v>
      </c>
      <c r="C203" t="s">
        <v>33</v>
      </c>
      <c r="D203" t="s">
        <v>15</v>
      </c>
      <c r="E203">
        <v>5684.33</v>
      </c>
      <c r="F203">
        <v>10</v>
      </c>
      <c r="G203" t="s">
        <v>35</v>
      </c>
      <c r="H203">
        <v>2940.4</v>
      </c>
      <c r="I203">
        <v>3054.79</v>
      </c>
      <c r="J203" t="s">
        <v>17</v>
      </c>
      <c r="K203">
        <v>0.08</v>
      </c>
      <c r="L203" t="s">
        <v>31</v>
      </c>
      <c r="M203" t="s">
        <v>19</v>
      </c>
      <c r="N203" t="s">
        <v>53</v>
      </c>
    </row>
    <row r="204" spans="1:14" x14ac:dyDescent="0.3">
      <c r="A204">
        <v>1037</v>
      </c>
      <c r="B204" s="1">
        <v>44949</v>
      </c>
      <c r="C204" t="s">
        <v>33</v>
      </c>
      <c r="D204" t="s">
        <v>34</v>
      </c>
      <c r="E204">
        <v>3649.93</v>
      </c>
      <c r="F204">
        <v>25</v>
      </c>
      <c r="G204" t="s">
        <v>26</v>
      </c>
      <c r="H204">
        <v>1074.6199999999999</v>
      </c>
      <c r="I204">
        <v>1382.4299999999998</v>
      </c>
      <c r="J204" t="s">
        <v>17</v>
      </c>
      <c r="K204">
        <v>0.24</v>
      </c>
      <c r="L204" t="s">
        <v>31</v>
      </c>
      <c r="M204" t="s">
        <v>22</v>
      </c>
      <c r="N204" t="s">
        <v>36</v>
      </c>
    </row>
    <row r="205" spans="1:14" x14ac:dyDescent="0.3">
      <c r="A205">
        <v>1097</v>
      </c>
      <c r="B205" s="1">
        <v>45229</v>
      </c>
      <c r="C205" t="s">
        <v>38</v>
      </c>
      <c r="D205" t="s">
        <v>21</v>
      </c>
      <c r="E205">
        <v>6600.65</v>
      </c>
      <c r="F205">
        <v>49</v>
      </c>
      <c r="G205" t="s">
        <v>35</v>
      </c>
      <c r="H205">
        <v>4264.46</v>
      </c>
      <c r="I205">
        <v>4315.5200000000004</v>
      </c>
      <c r="J205" t="s">
        <v>30</v>
      </c>
      <c r="K205">
        <v>7.0000000000000007E-2</v>
      </c>
      <c r="L205" t="s">
        <v>18</v>
      </c>
      <c r="M205" t="s">
        <v>22</v>
      </c>
      <c r="N205" t="s">
        <v>41</v>
      </c>
    </row>
    <row r="206" spans="1:14" x14ac:dyDescent="0.3">
      <c r="A206">
        <v>1051</v>
      </c>
      <c r="B206" s="1">
        <v>45272</v>
      </c>
      <c r="C206" t="s">
        <v>38</v>
      </c>
      <c r="D206" t="s">
        <v>15</v>
      </c>
      <c r="E206">
        <v>2479.9499999999998</v>
      </c>
      <c r="F206">
        <v>8</v>
      </c>
      <c r="G206" t="s">
        <v>29</v>
      </c>
      <c r="H206">
        <v>467.11</v>
      </c>
      <c r="I206">
        <v>792.21</v>
      </c>
      <c r="J206" t="s">
        <v>30</v>
      </c>
      <c r="K206">
        <v>0.2</v>
      </c>
      <c r="L206" t="s">
        <v>31</v>
      </c>
      <c r="M206" t="s">
        <v>19</v>
      </c>
      <c r="N206" t="s">
        <v>40</v>
      </c>
    </row>
    <row r="207" spans="1:14" x14ac:dyDescent="0.3">
      <c r="A207">
        <v>1044</v>
      </c>
      <c r="B207" s="1">
        <v>45228</v>
      </c>
      <c r="C207" t="s">
        <v>33</v>
      </c>
      <c r="D207" t="s">
        <v>15</v>
      </c>
      <c r="E207">
        <v>1996.77</v>
      </c>
      <c r="F207">
        <v>11</v>
      </c>
      <c r="G207" t="s">
        <v>29</v>
      </c>
      <c r="H207">
        <v>1812.66</v>
      </c>
      <c r="I207">
        <v>2196.3000000000002</v>
      </c>
      <c r="J207" t="s">
        <v>30</v>
      </c>
      <c r="K207">
        <v>0.08</v>
      </c>
      <c r="L207" t="s">
        <v>18</v>
      </c>
      <c r="M207" t="s">
        <v>19</v>
      </c>
      <c r="N207" t="s">
        <v>53</v>
      </c>
    </row>
    <row r="208" spans="1:14" x14ac:dyDescent="0.3">
      <c r="A208">
        <v>1024</v>
      </c>
      <c r="B208" s="1">
        <v>45289</v>
      </c>
      <c r="C208" t="s">
        <v>38</v>
      </c>
      <c r="D208" t="s">
        <v>15</v>
      </c>
      <c r="E208">
        <v>9190.57</v>
      </c>
      <c r="F208">
        <v>5</v>
      </c>
      <c r="G208" t="s">
        <v>16</v>
      </c>
      <c r="H208">
        <v>3417.9</v>
      </c>
      <c r="I208">
        <v>3714.52</v>
      </c>
      <c r="J208" t="s">
        <v>17</v>
      </c>
      <c r="K208">
        <v>0.27</v>
      </c>
      <c r="L208" t="s">
        <v>31</v>
      </c>
      <c r="M208" t="s">
        <v>22</v>
      </c>
      <c r="N208" t="s">
        <v>40</v>
      </c>
    </row>
    <row r="209" spans="1:14" x14ac:dyDescent="0.3">
      <c r="A209">
        <v>1079</v>
      </c>
      <c r="B209" s="1">
        <v>45144</v>
      </c>
      <c r="C209" t="s">
        <v>24</v>
      </c>
      <c r="D209" t="s">
        <v>15</v>
      </c>
      <c r="E209">
        <v>1107.8599999999999</v>
      </c>
      <c r="F209">
        <v>45</v>
      </c>
      <c r="G209" t="s">
        <v>29</v>
      </c>
      <c r="H209">
        <v>1406.9</v>
      </c>
      <c r="I209">
        <v>1547.3500000000001</v>
      </c>
      <c r="J209" t="s">
        <v>30</v>
      </c>
      <c r="K209">
        <v>0.17</v>
      </c>
      <c r="L209" t="s">
        <v>18</v>
      </c>
      <c r="M209" t="s">
        <v>22</v>
      </c>
      <c r="N209" t="s">
        <v>45</v>
      </c>
    </row>
    <row r="210" spans="1:14" x14ac:dyDescent="0.3">
      <c r="A210">
        <v>1059</v>
      </c>
      <c r="B210" s="1">
        <v>45067</v>
      </c>
      <c r="C210" t="s">
        <v>42</v>
      </c>
      <c r="D210" t="s">
        <v>15</v>
      </c>
      <c r="E210">
        <v>5108.9799999999996</v>
      </c>
      <c r="F210">
        <v>37</v>
      </c>
      <c r="G210" t="s">
        <v>35</v>
      </c>
      <c r="H210">
        <v>4146.99</v>
      </c>
      <c r="I210">
        <v>4172.3499999999995</v>
      </c>
      <c r="J210" t="s">
        <v>17</v>
      </c>
      <c r="K210">
        <v>0.06</v>
      </c>
      <c r="L210" t="s">
        <v>18</v>
      </c>
      <c r="M210" t="s">
        <v>22</v>
      </c>
      <c r="N210" t="s">
        <v>49</v>
      </c>
    </row>
    <row r="211" spans="1:14" x14ac:dyDescent="0.3">
      <c r="A211">
        <v>1032</v>
      </c>
      <c r="B211" s="1">
        <v>45030</v>
      </c>
      <c r="C211" t="s">
        <v>24</v>
      </c>
      <c r="D211" t="s">
        <v>15</v>
      </c>
      <c r="E211">
        <v>2286.44</v>
      </c>
      <c r="F211">
        <v>45</v>
      </c>
      <c r="G211" t="s">
        <v>29</v>
      </c>
      <c r="H211">
        <v>3712.35</v>
      </c>
      <c r="I211">
        <v>3780.88</v>
      </c>
      <c r="J211" t="s">
        <v>30</v>
      </c>
      <c r="K211">
        <v>7.0000000000000007E-2</v>
      </c>
      <c r="L211" t="s">
        <v>18</v>
      </c>
      <c r="M211" t="s">
        <v>22</v>
      </c>
      <c r="N211" t="s">
        <v>45</v>
      </c>
    </row>
    <row r="212" spans="1:14" x14ac:dyDescent="0.3">
      <c r="A212">
        <v>1096</v>
      </c>
      <c r="B212" s="1">
        <v>45136</v>
      </c>
      <c r="C212" t="s">
        <v>33</v>
      </c>
      <c r="D212" t="s">
        <v>21</v>
      </c>
      <c r="E212">
        <v>485.41</v>
      </c>
      <c r="F212">
        <v>38</v>
      </c>
      <c r="G212" t="s">
        <v>35</v>
      </c>
      <c r="H212">
        <v>3955.66</v>
      </c>
      <c r="I212">
        <v>4270.59</v>
      </c>
      <c r="J212" t="s">
        <v>17</v>
      </c>
      <c r="K212">
        <v>0.15</v>
      </c>
      <c r="L212" t="s">
        <v>31</v>
      </c>
      <c r="M212" t="s">
        <v>19</v>
      </c>
      <c r="N212" t="s">
        <v>37</v>
      </c>
    </row>
    <row r="213" spans="1:14" x14ac:dyDescent="0.3">
      <c r="A213">
        <v>1088</v>
      </c>
      <c r="B213" s="1">
        <v>45037</v>
      </c>
      <c r="C213" t="s">
        <v>33</v>
      </c>
      <c r="D213" t="s">
        <v>34</v>
      </c>
      <c r="E213">
        <v>456.59</v>
      </c>
      <c r="F213">
        <v>29</v>
      </c>
      <c r="G213" t="s">
        <v>16</v>
      </c>
      <c r="H213">
        <v>639.58000000000004</v>
      </c>
      <c r="I213">
        <v>1107.45</v>
      </c>
      <c r="J213" t="s">
        <v>30</v>
      </c>
      <c r="K213">
        <v>0.28999999999999998</v>
      </c>
      <c r="L213" t="s">
        <v>18</v>
      </c>
      <c r="M213" t="s">
        <v>22</v>
      </c>
      <c r="N213" t="s">
        <v>36</v>
      </c>
    </row>
    <row r="214" spans="1:14" x14ac:dyDescent="0.3">
      <c r="A214">
        <v>1052</v>
      </c>
      <c r="B214" s="1">
        <v>45030</v>
      </c>
      <c r="C214" t="s">
        <v>24</v>
      </c>
      <c r="D214" t="s">
        <v>15</v>
      </c>
      <c r="E214">
        <v>1834.7</v>
      </c>
      <c r="F214">
        <v>5</v>
      </c>
      <c r="G214" t="s">
        <v>16</v>
      </c>
      <c r="H214">
        <v>745.71</v>
      </c>
      <c r="I214">
        <v>856.91000000000008</v>
      </c>
      <c r="J214" t="s">
        <v>17</v>
      </c>
      <c r="K214">
        <v>0.23</v>
      </c>
      <c r="L214" t="s">
        <v>27</v>
      </c>
      <c r="M214" t="s">
        <v>22</v>
      </c>
      <c r="N214" t="s">
        <v>45</v>
      </c>
    </row>
    <row r="215" spans="1:14" x14ac:dyDescent="0.3">
      <c r="A215">
        <v>1062</v>
      </c>
      <c r="B215" s="1">
        <v>45242</v>
      </c>
      <c r="C215" t="s">
        <v>38</v>
      </c>
      <c r="D215" t="s">
        <v>25</v>
      </c>
      <c r="E215">
        <v>8681.0300000000007</v>
      </c>
      <c r="F215">
        <v>9</v>
      </c>
      <c r="G215" t="s">
        <v>35</v>
      </c>
      <c r="H215">
        <v>1468.05</v>
      </c>
      <c r="I215">
        <v>1838.21</v>
      </c>
      <c r="J215" t="s">
        <v>30</v>
      </c>
      <c r="K215">
        <v>0.15</v>
      </c>
      <c r="L215" t="s">
        <v>27</v>
      </c>
      <c r="M215" t="s">
        <v>22</v>
      </c>
      <c r="N215" t="s">
        <v>39</v>
      </c>
    </row>
    <row r="216" spans="1:14" x14ac:dyDescent="0.3">
      <c r="A216">
        <v>1058</v>
      </c>
      <c r="B216" s="1">
        <v>45097</v>
      </c>
      <c r="C216" t="s">
        <v>38</v>
      </c>
      <c r="D216" t="s">
        <v>21</v>
      </c>
      <c r="E216">
        <v>2896.54</v>
      </c>
      <c r="F216">
        <v>48</v>
      </c>
      <c r="G216" t="s">
        <v>29</v>
      </c>
      <c r="H216">
        <v>2614.48</v>
      </c>
      <c r="I216">
        <v>3049.04</v>
      </c>
      <c r="J216" t="s">
        <v>30</v>
      </c>
      <c r="K216">
        <v>0.1</v>
      </c>
      <c r="L216" t="s">
        <v>31</v>
      </c>
      <c r="M216" t="s">
        <v>22</v>
      </c>
      <c r="N216" t="s">
        <v>41</v>
      </c>
    </row>
    <row r="217" spans="1:14" x14ac:dyDescent="0.3">
      <c r="A217">
        <v>1052</v>
      </c>
      <c r="B217" s="1">
        <v>45282</v>
      </c>
      <c r="C217" t="s">
        <v>33</v>
      </c>
      <c r="D217" t="s">
        <v>21</v>
      </c>
      <c r="E217">
        <v>9509.5499999999993</v>
      </c>
      <c r="F217">
        <v>2</v>
      </c>
      <c r="G217" t="s">
        <v>16</v>
      </c>
      <c r="H217">
        <v>3752.68</v>
      </c>
      <c r="I217">
        <v>4017.91</v>
      </c>
      <c r="J217" t="s">
        <v>17</v>
      </c>
      <c r="K217">
        <v>0.16</v>
      </c>
      <c r="L217" t="s">
        <v>27</v>
      </c>
      <c r="M217" t="s">
        <v>19</v>
      </c>
      <c r="N217" t="s">
        <v>37</v>
      </c>
    </row>
    <row r="218" spans="1:14" x14ac:dyDescent="0.3">
      <c r="A218">
        <v>1012</v>
      </c>
      <c r="B218" s="1">
        <v>45250</v>
      </c>
      <c r="C218" t="s">
        <v>14</v>
      </c>
      <c r="D218" t="s">
        <v>15</v>
      </c>
      <c r="E218">
        <v>5858.06</v>
      </c>
      <c r="F218">
        <v>1</v>
      </c>
      <c r="G218" t="s">
        <v>26</v>
      </c>
      <c r="H218">
        <v>4190.83</v>
      </c>
      <c r="I218">
        <v>4528.7699999999995</v>
      </c>
      <c r="J218" t="s">
        <v>17</v>
      </c>
      <c r="K218">
        <v>0.22</v>
      </c>
      <c r="L218" t="s">
        <v>27</v>
      </c>
      <c r="M218" t="s">
        <v>19</v>
      </c>
      <c r="N218" t="s">
        <v>20</v>
      </c>
    </row>
    <row r="219" spans="1:14" x14ac:dyDescent="0.3">
      <c r="A219">
        <v>1039</v>
      </c>
      <c r="B219" s="1">
        <v>45059</v>
      </c>
      <c r="C219" t="s">
        <v>38</v>
      </c>
      <c r="D219" t="s">
        <v>21</v>
      </c>
      <c r="E219">
        <v>4422.4799999999996</v>
      </c>
      <c r="F219">
        <v>40</v>
      </c>
      <c r="G219" t="s">
        <v>16</v>
      </c>
      <c r="H219">
        <v>3536.46</v>
      </c>
      <c r="I219">
        <v>3945.82</v>
      </c>
      <c r="J219" t="s">
        <v>30</v>
      </c>
      <c r="K219">
        <v>0.24</v>
      </c>
      <c r="L219" t="s">
        <v>27</v>
      </c>
      <c r="M219" t="s">
        <v>19</v>
      </c>
      <c r="N219" t="s">
        <v>41</v>
      </c>
    </row>
    <row r="220" spans="1:14" x14ac:dyDescent="0.3">
      <c r="A220">
        <v>1002</v>
      </c>
      <c r="B220" s="1">
        <v>45219</v>
      </c>
      <c r="C220" t="s">
        <v>24</v>
      </c>
      <c r="D220" t="s">
        <v>15</v>
      </c>
      <c r="E220">
        <v>5842.88</v>
      </c>
      <c r="F220">
        <v>30</v>
      </c>
      <c r="G220" t="s">
        <v>29</v>
      </c>
      <c r="H220">
        <v>4646.55</v>
      </c>
      <c r="I220">
        <v>4784.28</v>
      </c>
      <c r="J220" t="s">
        <v>17</v>
      </c>
      <c r="K220">
        <v>0.1</v>
      </c>
      <c r="L220" t="s">
        <v>31</v>
      </c>
      <c r="M220" t="s">
        <v>22</v>
      </c>
      <c r="N220" t="s">
        <v>45</v>
      </c>
    </row>
    <row r="221" spans="1:14" x14ac:dyDescent="0.3">
      <c r="A221">
        <v>1003</v>
      </c>
      <c r="B221" s="1">
        <v>45254</v>
      </c>
      <c r="C221" t="s">
        <v>38</v>
      </c>
      <c r="D221" t="s">
        <v>34</v>
      </c>
      <c r="E221">
        <v>5215.3100000000004</v>
      </c>
      <c r="F221">
        <v>11</v>
      </c>
      <c r="G221" t="s">
        <v>26</v>
      </c>
      <c r="H221">
        <v>3706.78</v>
      </c>
      <c r="I221">
        <v>3862.26</v>
      </c>
      <c r="J221" t="s">
        <v>30</v>
      </c>
      <c r="K221">
        <v>0.22</v>
      </c>
      <c r="L221" t="s">
        <v>31</v>
      </c>
      <c r="M221" t="s">
        <v>22</v>
      </c>
      <c r="N221" t="s">
        <v>48</v>
      </c>
    </row>
    <row r="222" spans="1:14" x14ac:dyDescent="0.3">
      <c r="A222">
        <v>1056</v>
      </c>
      <c r="B222" s="1">
        <v>45053</v>
      </c>
      <c r="C222" t="s">
        <v>24</v>
      </c>
      <c r="D222" t="s">
        <v>34</v>
      </c>
      <c r="E222">
        <v>7611.88</v>
      </c>
      <c r="F222">
        <v>28</v>
      </c>
      <c r="G222" t="s">
        <v>29</v>
      </c>
      <c r="H222">
        <v>1566.03</v>
      </c>
      <c r="I222">
        <v>1576.34</v>
      </c>
      <c r="J222" t="s">
        <v>17</v>
      </c>
      <c r="K222">
        <v>0.2</v>
      </c>
      <c r="L222" t="s">
        <v>27</v>
      </c>
      <c r="M222" t="s">
        <v>19</v>
      </c>
      <c r="N222" t="s">
        <v>50</v>
      </c>
    </row>
    <row r="223" spans="1:14" x14ac:dyDescent="0.3">
      <c r="A223">
        <v>1081</v>
      </c>
      <c r="B223" s="1">
        <v>45032</v>
      </c>
      <c r="C223" t="s">
        <v>33</v>
      </c>
      <c r="D223" t="s">
        <v>21</v>
      </c>
      <c r="E223">
        <v>2896.71</v>
      </c>
      <c r="F223">
        <v>44</v>
      </c>
      <c r="G223" t="s">
        <v>35</v>
      </c>
      <c r="H223">
        <v>1362.15</v>
      </c>
      <c r="I223">
        <v>1844.0700000000002</v>
      </c>
      <c r="J223" t="s">
        <v>30</v>
      </c>
      <c r="K223">
        <v>0.28999999999999998</v>
      </c>
      <c r="L223" t="s">
        <v>31</v>
      </c>
      <c r="M223" t="s">
        <v>19</v>
      </c>
      <c r="N223" t="s">
        <v>37</v>
      </c>
    </row>
    <row r="224" spans="1:14" x14ac:dyDescent="0.3">
      <c r="A224">
        <v>1059</v>
      </c>
      <c r="B224" s="1">
        <v>45018</v>
      </c>
      <c r="C224" t="s">
        <v>38</v>
      </c>
      <c r="D224" t="s">
        <v>21</v>
      </c>
      <c r="E224">
        <v>3595.2</v>
      </c>
      <c r="F224">
        <v>12</v>
      </c>
      <c r="G224" t="s">
        <v>26</v>
      </c>
      <c r="H224">
        <v>3496.15</v>
      </c>
      <c r="I224">
        <v>3955.75</v>
      </c>
      <c r="J224" t="s">
        <v>17</v>
      </c>
      <c r="K224">
        <v>0.28000000000000003</v>
      </c>
      <c r="L224" t="s">
        <v>18</v>
      </c>
      <c r="M224" t="s">
        <v>22</v>
      </c>
      <c r="N224" t="s">
        <v>41</v>
      </c>
    </row>
    <row r="225" spans="1:14" x14ac:dyDescent="0.3">
      <c r="A225">
        <v>1002</v>
      </c>
      <c r="B225" s="1">
        <v>45213</v>
      </c>
      <c r="C225" t="s">
        <v>24</v>
      </c>
      <c r="D225" t="s">
        <v>25</v>
      </c>
      <c r="E225">
        <v>8951.5300000000007</v>
      </c>
      <c r="F225">
        <v>39</v>
      </c>
      <c r="G225" t="s">
        <v>29</v>
      </c>
      <c r="H225">
        <v>1004.71</v>
      </c>
      <c r="I225">
        <v>1389.35</v>
      </c>
      <c r="J225" t="s">
        <v>30</v>
      </c>
      <c r="K225">
        <v>0.24</v>
      </c>
      <c r="L225" t="s">
        <v>27</v>
      </c>
      <c r="M225" t="s">
        <v>19</v>
      </c>
      <c r="N225" t="s">
        <v>28</v>
      </c>
    </row>
    <row r="226" spans="1:14" x14ac:dyDescent="0.3">
      <c r="A226">
        <v>1002</v>
      </c>
      <c r="B226" s="1">
        <v>44977</v>
      </c>
      <c r="C226" t="s">
        <v>33</v>
      </c>
      <c r="D226" t="s">
        <v>21</v>
      </c>
      <c r="E226">
        <v>9469.92</v>
      </c>
      <c r="F226">
        <v>26</v>
      </c>
      <c r="G226" t="s">
        <v>26</v>
      </c>
      <c r="H226">
        <v>508.94</v>
      </c>
      <c r="I226">
        <v>557.69000000000005</v>
      </c>
      <c r="J226" t="s">
        <v>30</v>
      </c>
      <c r="K226">
        <v>0.22</v>
      </c>
      <c r="L226" t="s">
        <v>31</v>
      </c>
      <c r="M226" t="s">
        <v>22</v>
      </c>
      <c r="N226" t="s">
        <v>37</v>
      </c>
    </row>
    <row r="227" spans="1:14" x14ac:dyDescent="0.3">
      <c r="A227">
        <v>1092</v>
      </c>
      <c r="B227" s="1">
        <v>44955</v>
      </c>
      <c r="C227" t="s">
        <v>14</v>
      </c>
      <c r="D227" t="s">
        <v>25</v>
      </c>
      <c r="E227">
        <v>8936.33</v>
      </c>
      <c r="F227">
        <v>13</v>
      </c>
      <c r="G227" t="s">
        <v>29</v>
      </c>
      <c r="H227">
        <v>2684.5</v>
      </c>
      <c r="I227">
        <v>2913.78</v>
      </c>
      <c r="J227" t="s">
        <v>30</v>
      </c>
      <c r="K227">
        <v>0.08</v>
      </c>
      <c r="L227" t="s">
        <v>31</v>
      </c>
      <c r="M227" t="s">
        <v>22</v>
      </c>
      <c r="N227" t="s">
        <v>32</v>
      </c>
    </row>
    <row r="228" spans="1:14" x14ac:dyDescent="0.3">
      <c r="A228">
        <v>1054</v>
      </c>
      <c r="B228" s="1">
        <v>45222</v>
      </c>
      <c r="C228" t="s">
        <v>24</v>
      </c>
      <c r="D228" t="s">
        <v>34</v>
      </c>
      <c r="E228">
        <v>4252.54</v>
      </c>
      <c r="F228">
        <v>8</v>
      </c>
      <c r="G228" t="s">
        <v>26</v>
      </c>
      <c r="H228">
        <v>4117.13</v>
      </c>
      <c r="I228">
        <v>4177.0600000000004</v>
      </c>
      <c r="J228" t="s">
        <v>17</v>
      </c>
      <c r="K228">
        <v>0.25</v>
      </c>
      <c r="L228" t="s">
        <v>27</v>
      </c>
      <c r="M228" t="s">
        <v>22</v>
      </c>
      <c r="N228" t="s">
        <v>50</v>
      </c>
    </row>
    <row r="229" spans="1:14" x14ac:dyDescent="0.3">
      <c r="A229">
        <v>1087</v>
      </c>
      <c r="B229" s="1">
        <v>45223</v>
      </c>
      <c r="C229" t="s">
        <v>14</v>
      </c>
      <c r="D229" t="s">
        <v>34</v>
      </c>
      <c r="E229">
        <v>7825.62</v>
      </c>
      <c r="F229">
        <v>28</v>
      </c>
      <c r="G229" t="s">
        <v>29</v>
      </c>
      <c r="H229">
        <v>551.83000000000004</v>
      </c>
      <c r="I229">
        <v>569.63</v>
      </c>
      <c r="J229" t="s">
        <v>30</v>
      </c>
      <c r="K229">
        <v>0.13</v>
      </c>
      <c r="L229" t="s">
        <v>31</v>
      </c>
      <c r="M229" t="s">
        <v>22</v>
      </c>
      <c r="N229" t="s">
        <v>46</v>
      </c>
    </row>
    <row r="230" spans="1:14" x14ac:dyDescent="0.3">
      <c r="A230">
        <v>1096</v>
      </c>
      <c r="B230" s="1">
        <v>45140</v>
      </c>
      <c r="C230" t="s">
        <v>14</v>
      </c>
      <c r="D230" t="s">
        <v>15</v>
      </c>
      <c r="E230">
        <v>4815.72</v>
      </c>
      <c r="F230">
        <v>30</v>
      </c>
      <c r="G230" t="s">
        <v>35</v>
      </c>
      <c r="H230">
        <v>3969.86</v>
      </c>
      <c r="I230">
        <v>4281.79</v>
      </c>
      <c r="J230" t="s">
        <v>17</v>
      </c>
      <c r="K230">
        <v>0.08</v>
      </c>
      <c r="L230" t="s">
        <v>27</v>
      </c>
      <c r="M230" t="s">
        <v>22</v>
      </c>
      <c r="N230" t="s">
        <v>20</v>
      </c>
    </row>
    <row r="231" spans="1:14" x14ac:dyDescent="0.3">
      <c r="A231">
        <v>1097</v>
      </c>
      <c r="B231" s="1">
        <v>45193</v>
      </c>
      <c r="C231" t="s">
        <v>42</v>
      </c>
      <c r="D231" t="s">
        <v>34</v>
      </c>
      <c r="E231">
        <v>5025.6400000000003</v>
      </c>
      <c r="F231">
        <v>9</v>
      </c>
      <c r="G231" t="s">
        <v>26</v>
      </c>
      <c r="H231">
        <v>4067.28</v>
      </c>
      <c r="I231">
        <v>4548.09</v>
      </c>
      <c r="J231" t="s">
        <v>17</v>
      </c>
      <c r="K231">
        <v>0.12</v>
      </c>
      <c r="L231" t="s">
        <v>31</v>
      </c>
      <c r="M231" t="s">
        <v>22</v>
      </c>
      <c r="N231" t="s">
        <v>52</v>
      </c>
    </row>
    <row r="232" spans="1:14" x14ac:dyDescent="0.3">
      <c r="A232">
        <v>1001</v>
      </c>
      <c r="B232" s="1">
        <v>45183</v>
      </c>
      <c r="C232" t="s">
        <v>38</v>
      </c>
      <c r="D232" t="s">
        <v>25</v>
      </c>
      <c r="E232">
        <v>2126.33</v>
      </c>
      <c r="F232">
        <v>39</v>
      </c>
      <c r="G232" t="s">
        <v>26</v>
      </c>
      <c r="H232">
        <v>2437.2600000000002</v>
      </c>
      <c r="I232">
        <v>2889.67</v>
      </c>
      <c r="J232" t="s">
        <v>17</v>
      </c>
      <c r="K232">
        <v>0.25</v>
      </c>
      <c r="L232" t="s">
        <v>18</v>
      </c>
      <c r="M232" t="s">
        <v>19</v>
      </c>
      <c r="N232" t="s">
        <v>39</v>
      </c>
    </row>
    <row r="233" spans="1:14" x14ac:dyDescent="0.3">
      <c r="A233">
        <v>1019</v>
      </c>
      <c r="B233" s="1">
        <v>45228</v>
      </c>
      <c r="C233" t="s">
        <v>24</v>
      </c>
      <c r="D233" t="s">
        <v>21</v>
      </c>
      <c r="E233">
        <v>5952.19</v>
      </c>
      <c r="F233">
        <v>31</v>
      </c>
      <c r="G233" t="s">
        <v>26</v>
      </c>
      <c r="H233">
        <v>333.69</v>
      </c>
      <c r="I233">
        <v>685.1</v>
      </c>
      <c r="J233" t="s">
        <v>30</v>
      </c>
      <c r="K233">
        <v>0.04</v>
      </c>
      <c r="L233" t="s">
        <v>27</v>
      </c>
      <c r="M233" t="s">
        <v>19</v>
      </c>
      <c r="N233" t="s">
        <v>47</v>
      </c>
    </row>
    <row r="234" spans="1:14" x14ac:dyDescent="0.3">
      <c r="A234">
        <v>1002</v>
      </c>
      <c r="B234" s="1">
        <v>45027</v>
      </c>
      <c r="C234" t="s">
        <v>14</v>
      </c>
      <c r="D234" t="s">
        <v>15</v>
      </c>
      <c r="E234">
        <v>1942.75</v>
      </c>
      <c r="F234">
        <v>21</v>
      </c>
      <c r="G234" t="s">
        <v>26</v>
      </c>
      <c r="H234">
        <v>914.22</v>
      </c>
      <c r="I234">
        <v>971.57</v>
      </c>
      <c r="J234" t="s">
        <v>17</v>
      </c>
      <c r="K234">
        <v>0.14000000000000001</v>
      </c>
      <c r="L234" t="s">
        <v>18</v>
      </c>
      <c r="M234" t="s">
        <v>19</v>
      </c>
      <c r="N234" t="s">
        <v>20</v>
      </c>
    </row>
    <row r="235" spans="1:14" x14ac:dyDescent="0.3">
      <c r="A235">
        <v>1053</v>
      </c>
      <c r="B235" s="1">
        <v>45272</v>
      </c>
      <c r="C235" t="s">
        <v>42</v>
      </c>
      <c r="D235" t="s">
        <v>25</v>
      </c>
      <c r="E235">
        <v>3382.49</v>
      </c>
      <c r="F235">
        <v>47</v>
      </c>
      <c r="G235" t="s">
        <v>35</v>
      </c>
      <c r="H235">
        <v>3551.76</v>
      </c>
      <c r="I235">
        <v>3696.1000000000004</v>
      </c>
      <c r="J235" t="s">
        <v>17</v>
      </c>
      <c r="K235">
        <v>0.15</v>
      </c>
      <c r="L235" t="s">
        <v>27</v>
      </c>
      <c r="M235" t="s">
        <v>22</v>
      </c>
      <c r="N235" t="s">
        <v>43</v>
      </c>
    </row>
    <row r="236" spans="1:14" x14ac:dyDescent="0.3">
      <c r="A236">
        <v>1044</v>
      </c>
      <c r="B236" s="1">
        <v>45036</v>
      </c>
      <c r="C236" t="s">
        <v>33</v>
      </c>
      <c r="D236" t="s">
        <v>21</v>
      </c>
      <c r="E236">
        <v>8564.7999999999993</v>
      </c>
      <c r="F236">
        <v>34</v>
      </c>
      <c r="G236" t="s">
        <v>26</v>
      </c>
      <c r="H236">
        <v>3573.3</v>
      </c>
      <c r="I236">
        <v>3740.13</v>
      </c>
      <c r="J236" t="s">
        <v>17</v>
      </c>
      <c r="K236">
        <v>0.01</v>
      </c>
      <c r="L236" t="s">
        <v>31</v>
      </c>
      <c r="M236" t="s">
        <v>19</v>
      </c>
      <c r="N236" t="s">
        <v>37</v>
      </c>
    </row>
    <row r="237" spans="1:14" x14ac:dyDescent="0.3">
      <c r="A237">
        <v>1090</v>
      </c>
      <c r="B237" s="1">
        <v>45108</v>
      </c>
      <c r="C237" t="s">
        <v>24</v>
      </c>
      <c r="D237" t="s">
        <v>15</v>
      </c>
      <c r="E237">
        <v>2150.0500000000002</v>
      </c>
      <c r="F237">
        <v>31</v>
      </c>
      <c r="G237" t="s">
        <v>16</v>
      </c>
      <c r="H237">
        <v>4496.8599999999997</v>
      </c>
      <c r="I237">
        <v>4880.7999999999993</v>
      </c>
      <c r="J237" t="s">
        <v>30</v>
      </c>
      <c r="K237">
        <v>0.06</v>
      </c>
      <c r="L237" t="s">
        <v>18</v>
      </c>
      <c r="M237" t="s">
        <v>22</v>
      </c>
      <c r="N237" t="s">
        <v>45</v>
      </c>
    </row>
    <row r="238" spans="1:14" x14ac:dyDescent="0.3">
      <c r="A238">
        <v>1032</v>
      </c>
      <c r="B238" s="1">
        <v>45239</v>
      </c>
      <c r="C238" t="s">
        <v>14</v>
      </c>
      <c r="D238" t="s">
        <v>34</v>
      </c>
      <c r="E238">
        <v>804.47</v>
      </c>
      <c r="F238">
        <v>25</v>
      </c>
      <c r="G238" t="s">
        <v>35</v>
      </c>
      <c r="H238">
        <v>2934.3</v>
      </c>
      <c r="I238">
        <v>3337.4</v>
      </c>
      <c r="J238" t="s">
        <v>17</v>
      </c>
      <c r="K238">
        <v>0.25</v>
      </c>
      <c r="L238" t="s">
        <v>31</v>
      </c>
      <c r="M238" t="s">
        <v>22</v>
      </c>
      <c r="N238" t="s">
        <v>46</v>
      </c>
    </row>
    <row r="239" spans="1:14" x14ac:dyDescent="0.3">
      <c r="A239">
        <v>1070</v>
      </c>
      <c r="B239" s="1">
        <v>44927</v>
      </c>
      <c r="C239" t="s">
        <v>38</v>
      </c>
      <c r="D239" t="s">
        <v>25</v>
      </c>
      <c r="E239">
        <v>783.18</v>
      </c>
      <c r="F239">
        <v>12</v>
      </c>
      <c r="G239" t="s">
        <v>16</v>
      </c>
      <c r="H239">
        <v>664.33</v>
      </c>
      <c r="I239">
        <v>863.03</v>
      </c>
      <c r="J239" t="s">
        <v>17</v>
      </c>
      <c r="K239">
        <v>0.25</v>
      </c>
      <c r="L239" t="s">
        <v>27</v>
      </c>
      <c r="M239" t="s">
        <v>22</v>
      </c>
      <c r="N239" t="s">
        <v>39</v>
      </c>
    </row>
    <row r="240" spans="1:14" x14ac:dyDescent="0.3">
      <c r="A240">
        <v>1032</v>
      </c>
      <c r="B240" s="1">
        <v>45245</v>
      </c>
      <c r="C240" t="s">
        <v>42</v>
      </c>
      <c r="D240" t="s">
        <v>21</v>
      </c>
      <c r="E240">
        <v>9413.77</v>
      </c>
      <c r="F240">
        <v>1</v>
      </c>
      <c r="G240" t="s">
        <v>26</v>
      </c>
      <c r="H240">
        <v>651</v>
      </c>
      <c r="I240">
        <v>865.76</v>
      </c>
      <c r="J240" t="s">
        <v>17</v>
      </c>
      <c r="K240">
        <v>0.09</v>
      </c>
      <c r="L240" t="s">
        <v>27</v>
      </c>
      <c r="M240" t="s">
        <v>22</v>
      </c>
      <c r="N240" t="s">
        <v>51</v>
      </c>
    </row>
    <row r="241" spans="1:14" x14ac:dyDescent="0.3">
      <c r="A241">
        <v>1068</v>
      </c>
      <c r="B241" s="1">
        <v>44981</v>
      </c>
      <c r="C241" t="s">
        <v>14</v>
      </c>
      <c r="D241" t="s">
        <v>15</v>
      </c>
      <c r="E241">
        <v>5118.51</v>
      </c>
      <c r="F241">
        <v>22</v>
      </c>
      <c r="G241" t="s">
        <v>29</v>
      </c>
      <c r="H241">
        <v>3619.61</v>
      </c>
      <c r="I241">
        <v>3651.42</v>
      </c>
      <c r="J241" t="s">
        <v>17</v>
      </c>
      <c r="K241">
        <v>0.26</v>
      </c>
      <c r="L241" t="s">
        <v>27</v>
      </c>
      <c r="M241" t="s">
        <v>19</v>
      </c>
      <c r="N241" t="s">
        <v>20</v>
      </c>
    </row>
    <row r="242" spans="1:14" x14ac:dyDescent="0.3">
      <c r="A242">
        <v>1055</v>
      </c>
      <c r="B242" s="1">
        <v>45075</v>
      </c>
      <c r="C242" t="s">
        <v>38</v>
      </c>
      <c r="D242" t="s">
        <v>15</v>
      </c>
      <c r="E242">
        <v>4153.18</v>
      </c>
      <c r="F242">
        <v>40</v>
      </c>
      <c r="G242" t="s">
        <v>16</v>
      </c>
      <c r="H242">
        <v>959.73</v>
      </c>
      <c r="I242">
        <v>1111.4100000000001</v>
      </c>
      <c r="J242" t="s">
        <v>30</v>
      </c>
      <c r="K242">
        <v>0.23</v>
      </c>
      <c r="L242" t="s">
        <v>27</v>
      </c>
      <c r="M242" t="s">
        <v>19</v>
      </c>
      <c r="N242" t="s">
        <v>40</v>
      </c>
    </row>
    <row r="243" spans="1:14" x14ac:dyDescent="0.3">
      <c r="A243">
        <v>1075</v>
      </c>
      <c r="B243" s="1">
        <v>45235</v>
      </c>
      <c r="C243" t="s">
        <v>14</v>
      </c>
      <c r="D243" t="s">
        <v>34</v>
      </c>
      <c r="E243">
        <v>8127.7</v>
      </c>
      <c r="F243">
        <v>37</v>
      </c>
      <c r="G243" t="s">
        <v>26</v>
      </c>
      <c r="H243">
        <v>1675.51</v>
      </c>
      <c r="I243">
        <v>1906.6399999999999</v>
      </c>
      <c r="J243" t="s">
        <v>30</v>
      </c>
      <c r="K243">
        <v>0.13</v>
      </c>
      <c r="L243" t="s">
        <v>27</v>
      </c>
      <c r="M243" t="s">
        <v>19</v>
      </c>
      <c r="N243" t="s">
        <v>46</v>
      </c>
    </row>
    <row r="244" spans="1:14" x14ac:dyDescent="0.3">
      <c r="A244">
        <v>1056</v>
      </c>
      <c r="B244" s="1">
        <v>45063</v>
      </c>
      <c r="C244" t="s">
        <v>24</v>
      </c>
      <c r="D244" t="s">
        <v>21</v>
      </c>
      <c r="E244">
        <v>8374.68</v>
      </c>
      <c r="F244">
        <v>47</v>
      </c>
      <c r="G244" t="s">
        <v>16</v>
      </c>
      <c r="H244">
        <v>2461.6999999999998</v>
      </c>
      <c r="I244">
        <v>2529.02</v>
      </c>
      <c r="J244" t="s">
        <v>17</v>
      </c>
      <c r="K244">
        <v>0.22</v>
      </c>
      <c r="L244" t="s">
        <v>18</v>
      </c>
      <c r="M244" t="s">
        <v>22</v>
      </c>
      <c r="N244" t="s">
        <v>47</v>
      </c>
    </row>
    <row r="245" spans="1:14" x14ac:dyDescent="0.3">
      <c r="A245">
        <v>1017</v>
      </c>
      <c r="B245" s="1">
        <v>45128</v>
      </c>
      <c r="C245" t="s">
        <v>24</v>
      </c>
      <c r="D245" t="s">
        <v>34</v>
      </c>
      <c r="E245">
        <v>3388.69</v>
      </c>
      <c r="F245">
        <v>1</v>
      </c>
      <c r="G245" t="s">
        <v>26</v>
      </c>
      <c r="H245">
        <v>172.59</v>
      </c>
      <c r="I245">
        <v>404.69</v>
      </c>
      <c r="J245" t="s">
        <v>17</v>
      </c>
      <c r="K245">
        <v>0.28999999999999998</v>
      </c>
      <c r="L245" t="s">
        <v>27</v>
      </c>
      <c r="M245" t="s">
        <v>19</v>
      </c>
      <c r="N245" t="s">
        <v>50</v>
      </c>
    </row>
    <row r="246" spans="1:14" x14ac:dyDescent="0.3">
      <c r="A246">
        <v>1038</v>
      </c>
      <c r="B246" s="1">
        <v>45239</v>
      </c>
      <c r="C246" t="s">
        <v>24</v>
      </c>
      <c r="D246" t="s">
        <v>34</v>
      </c>
      <c r="E246">
        <v>6966.82</v>
      </c>
      <c r="F246">
        <v>1</v>
      </c>
      <c r="G246" t="s">
        <v>26</v>
      </c>
      <c r="H246">
        <v>1281.6500000000001</v>
      </c>
      <c r="I246">
        <v>1709.71</v>
      </c>
      <c r="J246" t="s">
        <v>17</v>
      </c>
      <c r="K246">
        <v>0.14000000000000001</v>
      </c>
      <c r="L246" t="s">
        <v>31</v>
      </c>
      <c r="M246" t="s">
        <v>19</v>
      </c>
      <c r="N246" t="s">
        <v>50</v>
      </c>
    </row>
    <row r="247" spans="1:14" x14ac:dyDescent="0.3">
      <c r="A247">
        <v>1024</v>
      </c>
      <c r="B247" s="1">
        <v>45043</v>
      </c>
      <c r="C247" t="s">
        <v>42</v>
      </c>
      <c r="D247" t="s">
        <v>21</v>
      </c>
      <c r="E247">
        <v>7734.12</v>
      </c>
      <c r="F247">
        <v>42</v>
      </c>
      <c r="G247" t="s">
        <v>26</v>
      </c>
      <c r="H247">
        <v>2069.0500000000002</v>
      </c>
      <c r="I247">
        <v>2363.9</v>
      </c>
      <c r="J247" t="s">
        <v>17</v>
      </c>
      <c r="K247">
        <v>7.0000000000000007E-2</v>
      </c>
      <c r="L247" t="s">
        <v>18</v>
      </c>
      <c r="M247" t="s">
        <v>19</v>
      </c>
      <c r="N247" t="s">
        <v>51</v>
      </c>
    </row>
    <row r="248" spans="1:14" x14ac:dyDescent="0.3">
      <c r="A248">
        <v>1069</v>
      </c>
      <c r="B248" s="1">
        <v>45080</v>
      </c>
      <c r="C248" t="s">
        <v>24</v>
      </c>
      <c r="D248" t="s">
        <v>21</v>
      </c>
      <c r="E248">
        <v>6581.04</v>
      </c>
      <c r="F248">
        <v>42</v>
      </c>
      <c r="G248" t="s">
        <v>29</v>
      </c>
      <c r="H248">
        <v>1434.2</v>
      </c>
      <c r="I248">
        <v>1482.88</v>
      </c>
      <c r="J248" t="s">
        <v>30</v>
      </c>
      <c r="K248">
        <v>0.28000000000000003</v>
      </c>
      <c r="L248" t="s">
        <v>31</v>
      </c>
      <c r="M248" t="s">
        <v>22</v>
      </c>
      <c r="N248" t="s">
        <v>47</v>
      </c>
    </row>
    <row r="249" spans="1:14" x14ac:dyDescent="0.3">
      <c r="A249">
        <v>1098</v>
      </c>
      <c r="B249" s="1">
        <v>45217</v>
      </c>
      <c r="C249" t="s">
        <v>38</v>
      </c>
      <c r="D249" t="s">
        <v>21</v>
      </c>
      <c r="E249">
        <v>1600.79</v>
      </c>
      <c r="F249">
        <v>21</v>
      </c>
      <c r="G249" t="s">
        <v>16</v>
      </c>
      <c r="H249">
        <v>725.03</v>
      </c>
      <c r="I249">
        <v>828.94999999999993</v>
      </c>
      <c r="J249" t="s">
        <v>30</v>
      </c>
      <c r="K249">
        <v>0.18</v>
      </c>
      <c r="L249" t="s">
        <v>27</v>
      </c>
      <c r="M249" t="s">
        <v>19</v>
      </c>
      <c r="N249" t="s">
        <v>41</v>
      </c>
    </row>
    <row r="250" spans="1:14" x14ac:dyDescent="0.3">
      <c r="A250">
        <v>1070</v>
      </c>
      <c r="B250" s="1">
        <v>44989</v>
      </c>
      <c r="C250" t="s">
        <v>14</v>
      </c>
      <c r="D250" t="s">
        <v>25</v>
      </c>
      <c r="E250">
        <v>8771.24</v>
      </c>
      <c r="F250">
        <v>15</v>
      </c>
      <c r="G250" t="s">
        <v>35</v>
      </c>
      <c r="H250">
        <v>3653.66</v>
      </c>
      <c r="I250">
        <v>3896.19</v>
      </c>
      <c r="J250" t="s">
        <v>30</v>
      </c>
      <c r="K250">
        <v>0.03</v>
      </c>
      <c r="L250" t="s">
        <v>31</v>
      </c>
      <c r="M250" t="s">
        <v>22</v>
      </c>
      <c r="N250" t="s">
        <v>32</v>
      </c>
    </row>
    <row r="251" spans="1:14" x14ac:dyDescent="0.3">
      <c r="A251">
        <v>1086</v>
      </c>
      <c r="B251" s="1">
        <v>45170</v>
      </c>
      <c r="C251" t="s">
        <v>33</v>
      </c>
      <c r="D251" t="s">
        <v>21</v>
      </c>
      <c r="E251">
        <v>5437.04</v>
      </c>
      <c r="F251">
        <v>17</v>
      </c>
      <c r="G251" t="s">
        <v>35</v>
      </c>
      <c r="H251">
        <v>4075.08</v>
      </c>
      <c r="I251">
        <v>4262.21</v>
      </c>
      <c r="J251" t="s">
        <v>30</v>
      </c>
      <c r="K251">
        <v>0.17</v>
      </c>
      <c r="L251" t="s">
        <v>18</v>
      </c>
      <c r="M251" t="s">
        <v>19</v>
      </c>
      <c r="N251" t="s">
        <v>37</v>
      </c>
    </row>
    <row r="252" spans="1:14" x14ac:dyDescent="0.3">
      <c r="A252">
        <v>1011</v>
      </c>
      <c r="B252" s="1">
        <v>44951</v>
      </c>
      <c r="C252" t="s">
        <v>38</v>
      </c>
      <c r="D252" t="s">
        <v>15</v>
      </c>
      <c r="E252">
        <v>2896.48</v>
      </c>
      <c r="F252">
        <v>22</v>
      </c>
      <c r="G252" t="s">
        <v>35</v>
      </c>
      <c r="H252">
        <v>1324.52</v>
      </c>
      <c r="I252">
        <v>1510.3</v>
      </c>
      <c r="J252" t="s">
        <v>17</v>
      </c>
      <c r="K252">
        <v>0.15</v>
      </c>
      <c r="L252" t="s">
        <v>18</v>
      </c>
      <c r="M252" t="s">
        <v>22</v>
      </c>
      <c r="N252" t="s">
        <v>40</v>
      </c>
    </row>
    <row r="253" spans="1:14" x14ac:dyDescent="0.3">
      <c r="A253">
        <v>1016</v>
      </c>
      <c r="B253" s="1">
        <v>45016</v>
      </c>
      <c r="C253" t="s">
        <v>38</v>
      </c>
      <c r="D253" t="s">
        <v>34</v>
      </c>
      <c r="E253">
        <v>4309.76</v>
      </c>
      <c r="F253">
        <v>38</v>
      </c>
      <c r="G253" t="s">
        <v>35</v>
      </c>
      <c r="H253">
        <v>3883.38</v>
      </c>
      <c r="I253">
        <v>4152.72</v>
      </c>
      <c r="J253" t="s">
        <v>17</v>
      </c>
      <c r="K253">
        <v>0.26</v>
      </c>
      <c r="L253" t="s">
        <v>18</v>
      </c>
      <c r="M253" t="s">
        <v>19</v>
      </c>
      <c r="N253" t="s">
        <v>48</v>
      </c>
    </row>
    <row r="254" spans="1:14" x14ac:dyDescent="0.3">
      <c r="A254">
        <v>1097</v>
      </c>
      <c r="B254" s="1">
        <v>45001</v>
      </c>
      <c r="C254" t="s">
        <v>24</v>
      </c>
      <c r="D254" t="s">
        <v>25</v>
      </c>
      <c r="E254">
        <v>471.95</v>
      </c>
      <c r="F254">
        <v>35</v>
      </c>
      <c r="G254" t="s">
        <v>26</v>
      </c>
      <c r="H254">
        <v>1958.49</v>
      </c>
      <c r="I254">
        <v>2254.84</v>
      </c>
      <c r="J254" t="s">
        <v>30</v>
      </c>
      <c r="K254">
        <v>0.16</v>
      </c>
      <c r="L254" t="s">
        <v>31</v>
      </c>
      <c r="M254" t="s">
        <v>19</v>
      </c>
      <c r="N254" t="s">
        <v>28</v>
      </c>
    </row>
    <row r="255" spans="1:14" x14ac:dyDescent="0.3">
      <c r="A255">
        <v>1073</v>
      </c>
      <c r="B255" s="1">
        <v>45220</v>
      </c>
      <c r="C255" t="s">
        <v>42</v>
      </c>
      <c r="D255" t="s">
        <v>21</v>
      </c>
      <c r="E255">
        <v>1365.88</v>
      </c>
      <c r="F255">
        <v>45</v>
      </c>
      <c r="G255" t="s">
        <v>16</v>
      </c>
      <c r="H255">
        <v>2558.09</v>
      </c>
      <c r="I255">
        <v>2958.55</v>
      </c>
      <c r="J255" t="s">
        <v>30</v>
      </c>
      <c r="K255">
        <v>0.08</v>
      </c>
      <c r="L255" t="s">
        <v>18</v>
      </c>
      <c r="M255" t="s">
        <v>19</v>
      </c>
      <c r="N255" t="s">
        <v>51</v>
      </c>
    </row>
    <row r="256" spans="1:14" x14ac:dyDescent="0.3">
      <c r="A256">
        <v>1059</v>
      </c>
      <c r="B256" s="1">
        <v>45136</v>
      </c>
      <c r="C256" t="s">
        <v>14</v>
      </c>
      <c r="D256" t="s">
        <v>25</v>
      </c>
      <c r="E256">
        <v>7678.91</v>
      </c>
      <c r="F256">
        <v>16</v>
      </c>
      <c r="G256" t="s">
        <v>16</v>
      </c>
      <c r="H256">
        <v>4287.21</v>
      </c>
      <c r="I256">
        <v>4464.28</v>
      </c>
      <c r="J256" t="s">
        <v>17</v>
      </c>
      <c r="K256">
        <v>0.2</v>
      </c>
      <c r="L256" t="s">
        <v>31</v>
      </c>
      <c r="M256" t="s">
        <v>22</v>
      </c>
      <c r="N256" t="s">
        <v>32</v>
      </c>
    </row>
    <row r="257" spans="1:14" x14ac:dyDescent="0.3">
      <c r="A257">
        <v>1070</v>
      </c>
      <c r="B257" s="1">
        <v>45273</v>
      </c>
      <c r="C257" t="s">
        <v>42</v>
      </c>
      <c r="D257" t="s">
        <v>21</v>
      </c>
      <c r="E257">
        <v>100.12</v>
      </c>
      <c r="F257">
        <v>8</v>
      </c>
      <c r="G257" t="s">
        <v>29</v>
      </c>
      <c r="H257">
        <v>3762.27</v>
      </c>
      <c r="I257">
        <v>4166.95</v>
      </c>
      <c r="J257" t="s">
        <v>17</v>
      </c>
      <c r="K257">
        <v>0.16</v>
      </c>
      <c r="L257" t="s">
        <v>27</v>
      </c>
      <c r="M257" t="s">
        <v>19</v>
      </c>
      <c r="N257" t="s">
        <v>51</v>
      </c>
    </row>
    <row r="258" spans="1:14" x14ac:dyDescent="0.3">
      <c r="A258">
        <v>1080</v>
      </c>
      <c r="B258" s="1">
        <v>44943</v>
      </c>
      <c r="C258" t="s">
        <v>14</v>
      </c>
      <c r="D258" t="s">
        <v>25</v>
      </c>
      <c r="E258">
        <v>4224</v>
      </c>
      <c r="F258">
        <v>47</v>
      </c>
      <c r="G258" t="s">
        <v>16</v>
      </c>
      <c r="H258">
        <v>4035.33</v>
      </c>
      <c r="I258">
        <v>4211.25</v>
      </c>
      <c r="J258" t="s">
        <v>17</v>
      </c>
      <c r="K258">
        <v>7.0000000000000007E-2</v>
      </c>
      <c r="L258" t="s">
        <v>27</v>
      </c>
      <c r="M258" t="s">
        <v>19</v>
      </c>
      <c r="N258" t="s">
        <v>32</v>
      </c>
    </row>
    <row r="259" spans="1:14" x14ac:dyDescent="0.3">
      <c r="A259">
        <v>1093</v>
      </c>
      <c r="B259" s="1">
        <v>45054</v>
      </c>
      <c r="C259" t="s">
        <v>14</v>
      </c>
      <c r="D259" t="s">
        <v>34</v>
      </c>
      <c r="E259">
        <v>5272.85</v>
      </c>
      <c r="F259">
        <v>17</v>
      </c>
      <c r="G259" t="s">
        <v>16</v>
      </c>
      <c r="H259">
        <v>727.38</v>
      </c>
      <c r="I259">
        <v>764.54</v>
      </c>
      <c r="J259" t="s">
        <v>17</v>
      </c>
      <c r="K259">
        <v>0.17</v>
      </c>
      <c r="L259" t="s">
        <v>31</v>
      </c>
      <c r="M259" t="s">
        <v>22</v>
      </c>
      <c r="N259" t="s">
        <v>46</v>
      </c>
    </row>
    <row r="260" spans="1:14" x14ac:dyDescent="0.3">
      <c r="A260">
        <v>1003</v>
      </c>
      <c r="B260" s="1">
        <v>45290</v>
      </c>
      <c r="C260" t="s">
        <v>42</v>
      </c>
      <c r="D260" t="s">
        <v>34</v>
      </c>
      <c r="E260">
        <v>640.88</v>
      </c>
      <c r="F260">
        <v>17</v>
      </c>
      <c r="G260" t="s">
        <v>16</v>
      </c>
      <c r="H260">
        <v>395.11</v>
      </c>
      <c r="I260">
        <v>676.66000000000008</v>
      </c>
      <c r="J260" t="s">
        <v>17</v>
      </c>
      <c r="K260">
        <v>0.25</v>
      </c>
      <c r="L260" t="s">
        <v>18</v>
      </c>
      <c r="M260" t="s">
        <v>22</v>
      </c>
      <c r="N260" t="s">
        <v>52</v>
      </c>
    </row>
    <row r="261" spans="1:14" x14ac:dyDescent="0.3">
      <c r="A261">
        <v>1020</v>
      </c>
      <c r="B261" s="1">
        <v>45177</v>
      </c>
      <c r="C261" t="s">
        <v>38</v>
      </c>
      <c r="D261" t="s">
        <v>15</v>
      </c>
      <c r="E261">
        <v>9733.4699999999993</v>
      </c>
      <c r="F261">
        <v>26</v>
      </c>
      <c r="G261" t="s">
        <v>29</v>
      </c>
      <c r="H261">
        <v>4472.3500000000004</v>
      </c>
      <c r="I261">
        <v>4770.42</v>
      </c>
      <c r="J261" t="s">
        <v>30</v>
      </c>
      <c r="K261">
        <v>0.01</v>
      </c>
      <c r="L261" t="s">
        <v>31</v>
      </c>
      <c r="M261" t="s">
        <v>22</v>
      </c>
      <c r="N261" t="s">
        <v>40</v>
      </c>
    </row>
    <row r="262" spans="1:14" x14ac:dyDescent="0.3">
      <c r="A262">
        <v>1059</v>
      </c>
      <c r="B262" s="1">
        <v>45105</v>
      </c>
      <c r="C262" t="s">
        <v>14</v>
      </c>
      <c r="D262" t="s">
        <v>15</v>
      </c>
      <c r="E262">
        <v>2338.64</v>
      </c>
      <c r="F262">
        <v>13</v>
      </c>
      <c r="G262" t="s">
        <v>35</v>
      </c>
      <c r="H262">
        <v>1969.78</v>
      </c>
      <c r="I262">
        <v>2437.6999999999998</v>
      </c>
      <c r="J262" t="s">
        <v>30</v>
      </c>
      <c r="K262">
        <v>0.19</v>
      </c>
      <c r="L262" t="s">
        <v>31</v>
      </c>
      <c r="M262" t="s">
        <v>22</v>
      </c>
      <c r="N262" t="s">
        <v>20</v>
      </c>
    </row>
    <row r="263" spans="1:14" x14ac:dyDescent="0.3">
      <c r="A263">
        <v>1036</v>
      </c>
      <c r="B263" s="1">
        <v>45108</v>
      </c>
      <c r="C263" t="s">
        <v>42</v>
      </c>
      <c r="D263" t="s">
        <v>21</v>
      </c>
      <c r="E263">
        <v>3111.57</v>
      </c>
      <c r="F263">
        <v>17</v>
      </c>
      <c r="G263" t="s">
        <v>16</v>
      </c>
      <c r="H263">
        <v>1475</v>
      </c>
      <c r="I263">
        <v>1840.77</v>
      </c>
      <c r="J263" t="s">
        <v>17</v>
      </c>
      <c r="K263">
        <v>0.1</v>
      </c>
      <c r="L263" t="s">
        <v>31</v>
      </c>
      <c r="M263" t="s">
        <v>19</v>
      </c>
      <c r="N263" t="s">
        <v>51</v>
      </c>
    </row>
    <row r="264" spans="1:14" x14ac:dyDescent="0.3">
      <c r="A264">
        <v>1019</v>
      </c>
      <c r="B264" s="1">
        <v>45078</v>
      </c>
      <c r="C264" t="s">
        <v>14</v>
      </c>
      <c r="D264" t="s">
        <v>34</v>
      </c>
      <c r="E264">
        <v>3109.03</v>
      </c>
      <c r="F264">
        <v>38</v>
      </c>
      <c r="G264" t="s">
        <v>29</v>
      </c>
      <c r="H264">
        <v>3637.25</v>
      </c>
      <c r="I264">
        <v>4096.96</v>
      </c>
      <c r="J264" t="s">
        <v>17</v>
      </c>
      <c r="K264">
        <v>0.09</v>
      </c>
      <c r="L264" t="s">
        <v>27</v>
      </c>
      <c r="M264" t="s">
        <v>19</v>
      </c>
      <c r="N264" t="s">
        <v>46</v>
      </c>
    </row>
    <row r="265" spans="1:14" x14ac:dyDescent="0.3">
      <c r="A265">
        <v>1090</v>
      </c>
      <c r="B265" s="1">
        <v>44951</v>
      </c>
      <c r="C265" t="s">
        <v>33</v>
      </c>
      <c r="D265" t="s">
        <v>25</v>
      </c>
      <c r="E265">
        <v>2381.12</v>
      </c>
      <c r="F265">
        <v>17</v>
      </c>
      <c r="G265" t="s">
        <v>29</v>
      </c>
      <c r="H265">
        <v>4190.26</v>
      </c>
      <c r="I265">
        <v>4645.3500000000004</v>
      </c>
      <c r="J265" t="s">
        <v>30</v>
      </c>
      <c r="K265">
        <v>0.12</v>
      </c>
      <c r="L265" t="s">
        <v>31</v>
      </c>
      <c r="M265" t="s">
        <v>22</v>
      </c>
      <c r="N265" t="s">
        <v>44</v>
      </c>
    </row>
    <row r="266" spans="1:14" x14ac:dyDescent="0.3">
      <c r="A266">
        <v>1067</v>
      </c>
      <c r="B266" s="1">
        <v>45106</v>
      </c>
      <c r="C266" t="s">
        <v>38</v>
      </c>
      <c r="D266" t="s">
        <v>25</v>
      </c>
      <c r="E266">
        <v>114.59</v>
      </c>
      <c r="F266">
        <v>48</v>
      </c>
      <c r="G266" t="s">
        <v>26</v>
      </c>
      <c r="H266">
        <v>4319.32</v>
      </c>
      <c r="I266">
        <v>4625.5599999999995</v>
      </c>
      <c r="J266" t="s">
        <v>17</v>
      </c>
      <c r="K266">
        <v>0.1</v>
      </c>
      <c r="L266" t="s">
        <v>27</v>
      </c>
      <c r="M266" t="s">
        <v>19</v>
      </c>
      <c r="N266" t="s">
        <v>39</v>
      </c>
    </row>
    <row r="267" spans="1:14" x14ac:dyDescent="0.3">
      <c r="A267">
        <v>1019</v>
      </c>
      <c r="B267" s="1">
        <v>45124</v>
      </c>
      <c r="C267" t="s">
        <v>24</v>
      </c>
      <c r="D267" t="s">
        <v>25</v>
      </c>
      <c r="E267">
        <v>7320.51</v>
      </c>
      <c r="F267">
        <v>14</v>
      </c>
      <c r="G267" t="s">
        <v>29</v>
      </c>
      <c r="H267">
        <v>1614.19</v>
      </c>
      <c r="I267">
        <v>1882.79</v>
      </c>
      <c r="J267" t="s">
        <v>30</v>
      </c>
      <c r="K267">
        <v>0.25</v>
      </c>
      <c r="L267" t="s">
        <v>31</v>
      </c>
      <c r="M267" t="s">
        <v>22</v>
      </c>
      <c r="N267" t="s">
        <v>28</v>
      </c>
    </row>
    <row r="268" spans="1:14" x14ac:dyDescent="0.3">
      <c r="A268">
        <v>1020</v>
      </c>
      <c r="B268" s="1">
        <v>45270</v>
      </c>
      <c r="C268" t="s">
        <v>14</v>
      </c>
      <c r="D268" t="s">
        <v>15</v>
      </c>
      <c r="E268">
        <v>9671.77</v>
      </c>
      <c r="F268">
        <v>45</v>
      </c>
      <c r="G268" t="s">
        <v>35</v>
      </c>
      <c r="H268">
        <v>4268.45</v>
      </c>
      <c r="I268">
        <v>4551.5999999999995</v>
      </c>
      <c r="J268" t="s">
        <v>30</v>
      </c>
      <c r="K268">
        <v>0.08</v>
      </c>
      <c r="L268" t="s">
        <v>27</v>
      </c>
      <c r="M268" t="s">
        <v>19</v>
      </c>
      <c r="N268" t="s">
        <v>20</v>
      </c>
    </row>
    <row r="269" spans="1:14" x14ac:dyDescent="0.3">
      <c r="A269">
        <v>1096</v>
      </c>
      <c r="B269" s="1">
        <v>45087</v>
      </c>
      <c r="C269" t="s">
        <v>33</v>
      </c>
      <c r="D269" t="s">
        <v>25</v>
      </c>
      <c r="E269">
        <v>2320.5100000000002</v>
      </c>
      <c r="F269">
        <v>6</v>
      </c>
      <c r="G269" t="s">
        <v>16</v>
      </c>
      <c r="H269">
        <v>252.62</v>
      </c>
      <c r="I269">
        <v>742</v>
      </c>
      <c r="J269" t="s">
        <v>30</v>
      </c>
      <c r="K269">
        <v>0.22</v>
      </c>
      <c r="L269" t="s">
        <v>31</v>
      </c>
      <c r="M269" t="s">
        <v>22</v>
      </c>
      <c r="N269" t="s">
        <v>44</v>
      </c>
    </row>
    <row r="270" spans="1:14" x14ac:dyDescent="0.3">
      <c r="A270">
        <v>1071</v>
      </c>
      <c r="B270" s="1">
        <v>45103</v>
      </c>
      <c r="C270" t="s">
        <v>24</v>
      </c>
      <c r="D270" t="s">
        <v>15</v>
      </c>
      <c r="E270">
        <v>6664.17</v>
      </c>
      <c r="F270">
        <v>35</v>
      </c>
      <c r="G270" t="s">
        <v>29</v>
      </c>
      <c r="H270">
        <v>295.82</v>
      </c>
      <c r="I270">
        <v>684.67000000000007</v>
      </c>
      <c r="J270" t="s">
        <v>30</v>
      </c>
      <c r="K270">
        <v>0.03</v>
      </c>
      <c r="L270" t="s">
        <v>31</v>
      </c>
      <c r="M270" t="s">
        <v>19</v>
      </c>
      <c r="N270" t="s">
        <v>45</v>
      </c>
    </row>
    <row r="271" spans="1:14" x14ac:dyDescent="0.3">
      <c r="A271">
        <v>1052</v>
      </c>
      <c r="B271" s="1">
        <v>45211</v>
      </c>
      <c r="C271" t="s">
        <v>24</v>
      </c>
      <c r="D271" t="s">
        <v>15</v>
      </c>
      <c r="E271">
        <v>7444.77</v>
      </c>
      <c r="F271">
        <v>46</v>
      </c>
      <c r="G271" t="s">
        <v>35</v>
      </c>
      <c r="H271">
        <v>3136.42</v>
      </c>
      <c r="I271">
        <v>3198.4900000000002</v>
      </c>
      <c r="J271" t="s">
        <v>17</v>
      </c>
      <c r="K271">
        <v>0.28999999999999998</v>
      </c>
      <c r="L271" t="s">
        <v>18</v>
      </c>
      <c r="M271" t="s">
        <v>22</v>
      </c>
      <c r="N271" t="s">
        <v>45</v>
      </c>
    </row>
    <row r="272" spans="1:14" x14ac:dyDescent="0.3">
      <c r="A272">
        <v>1033</v>
      </c>
      <c r="B272" s="1">
        <v>44989</v>
      </c>
      <c r="C272" t="s">
        <v>14</v>
      </c>
      <c r="D272" t="s">
        <v>21</v>
      </c>
      <c r="E272">
        <v>8499.41</v>
      </c>
      <c r="F272">
        <v>14</v>
      </c>
      <c r="G272" t="s">
        <v>29</v>
      </c>
      <c r="H272">
        <v>362.38</v>
      </c>
      <c r="I272">
        <v>753.81</v>
      </c>
      <c r="J272" t="s">
        <v>17</v>
      </c>
      <c r="K272">
        <v>0.19</v>
      </c>
      <c r="L272" t="s">
        <v>18</v>
      </c>
      <c r="M272" t="s">
        <v>22</v>
      </c>
      <c r="N272" t="s">
        <v>23</v>
      </c>
    </row>
    <row r="273" spans="1:14" x14ac:dyDescent="0.3">
      <c r="A273">
        <v>1040</v>
      </c>
      <c r="B273" s="1">
        <v>45076</v>
      </c>
      <c r="C273" t="s">
        <v>42</v>
      </c>
      <c r="D273" t="s">
        <v>25</v>
      </c>
      <c r="E273">
        <v>4284.03</v>
      </c>
      <c r="F273">
        <v>47</v>
      </c>
      <c r="G273" t="s">
        <v>29</v>
      </c>
      <c r="H273">
        <v>1656.82</v>
      </c>
      <c r="I273">
        <v>1750.3799999999999</v>
      </c>
      <c r="J273" t="s">
        <v>30</v>
      </c>
      <c r="K273">
        <v>0.21</v>
      </c>
      <c r="L273" t="s">
        <v>31</v>
      </c>
      <c r="M273" t="s">
        <v>19</v>
      </c>
      <c r="N273" t="s">
        <v>43</v>
      </c>
    </row>
    <row r="274" spans="1:14" x14ac:dyDescent="0.3">
      <c r="A274">
        <v>1039</v>
      </c>
      <c r="B274" s="1">
        <v>45080</v>
      </c>
      <c r="C274" t="s">
        <v>14</v>
      </c>
      <c r="D274" t="s">
        <v>25</v>
      </c>
      <c r="E274">
        <v>3099.02</v>
      </c>
      <c r="F274">
        <v>8</v>
      </c>
      <c r="G274" t="s">
        <v>29</v>
      </c>
      <c r="H274">
        <v>3380.14</v>
      </c>
      <c r="I274">
        <v>3609.3399999999997</v>
      </c>
      <c r="J274" t="s">
        <v>17</v>
      </c>
      <c r="K274">
        <v>0.09</v>
      </c>
      <c r="L274" t="s">
        <v>31</v>
      </c>
      <c r="M274" t="s">
        <v>19</v>
      </c>
      <c r="N274" t="s">
        <v>32</v>
      </c>
    </row>
    <row r="275" spans="1:14" x14ac:dyDescent="0.3">
      <c r="A275">
        <v>1082</v>
      </c>
      <c r="B275" s="1">
        <v>45082</v>
      </c>
      <c r="C275" t="s">
        <v>33</v>
      </c>
      <c r="D275" t="s">
        <v>34</v>
      </c>
      <c r="E275">
        <v>3320.42</v>
      </c>
      <c r="F275">
        <v>15</v>
      </c>
      <c r="G275" t="s">
        <v>29</v>
      </c>
      <c r="H275">
        <v>1719.47</v>
      </c>
      <c r="I275">
        <v>1832.6</v>
      </c>
      <c r="J275" t="s">
        <v>17</v>
      </c>
      <c r="K275">
        <v>0.12</v>
      </c>
      <c r="L275" t="s">
        <v>31</v>
      </c>
      <c r="M275" t="s">
        <v>19</v>
      </c>
      <c r="N275" t="s">
        <v>36</v>
      </c>
    </row>
    <row r="276" spans="1:14" x14ac:dyDescent="0.3">
      <c r="A276">
        <v>1001</v>
      </c>
      <c r="B276" s="1">
        <v>44975</v>
      </c>
      <c r="C276" t="s">
        <v>24</v>
      </c>
      <c r="D276" t="s">
        <v>21</v>
      </c>
      <c r="E276">
        <v>7154.95</v>
      </c>
      <c r="F276">
        <v>27</v>
      </c>
      <c r="G276" t="s">
        <v>29</v>
      </c>
      <c r="H276">
        <v>939.02</v>
      </c>
      <c r="I276">
        <v>1286.92</v>
      </c>
      <c r="J276" t="s">
        <v>17</v>
      </c>
      <c r="K276">
        <v>7.0000000000000007E-2</v>
      </c>
      <c r="L276" t="s">
        <v>31</v>
      </c>
      <c r="M276" t="s">
        <v>22</v>
      </c>
      <c r="N276" t="s">
        <v>47</v>
      </c>
    </row>
    <row r="277" spans="1:14" x14ac:dyDescent="0.3">
      <c r="A277">
        <v>1011</v>
      </c>
      <c r="B277" s="1">
        <v>45263</v>
      </c>
      <c r="C277" t="s">
        <v>14</v>
      </c>
      <c r="D277" t="s">
        <v>34</v>
      </c>
      <c r="E277">
        <v>8186.12</v>
      </c>
      <c r="F277">
        <v>13</v>
      </c>
      <c r="G277" t="s">
        <v>35</v>
      </c>
      <c r="H277">
        <v>1442.69</v>
      </c>
      <c r="I277">
        <v>1882.5700000000002</v>
      </c>
      <c r="J277" t="s">
        <v>17</v>
      </c>
      <c r="K277">
        <v>0.28000000000000003</v>
      </c>
      <c r="L277" t="s">
        <v>18</v>
      </c>
      <c r="M277" t="s">
        <v>19</v>
      </c>
      <c r="N277" t="s">
        <v>46</v>
      </c>
    </row>
    <row r="278" spans="1:14" x14ac:dyDescent="0.3">
      <c r="A278">
        <v>1092</v>
      </c>
      <c r="B278" s="1">
        <v>45010</v>
      </c>
      <c r="C278" t="s">
        <v>42</v>
      </c>
      <c r="D278" t="s">
        <v>21</v>
      </c>
      <c r="E278">
        <v>1897.98</v>
      </c>
      <c r="F278">
        <v>49</v>
      </c>
      <c r="G278" t="s">
        <v>16</v>
      </c>
      <c r="H278">
        <v>2315</v>
      </c>
      <c r="I278">
        <v>2467.2800000000002</v>
      </c>
      <c r="J278" t="s">
        <v>30</v>
      </c>
      <c r="K278">
        <v>0.15</v>
      </c>
      <c r="L278" t="s">
        <v>27</v>
      </c>
      <c r="M278" t="s">
        <v>22</v>
      </c>
      <c r="N278" t="s">
        <v>51</v>
      </c>
    </row>
    <row r="279" spans="1:14" x14ac:dyDescent="0.3">
      <c r="A279">
        <v>1057</v>
      </c>
      <c r="B279" s="1">
        <v>45287</v>
      </c>
      <c r="C279" t="s">
        <v>14</v>
      </c>
      <c r="D279" t="s">
        <v>25</v>
      </c>
      <c r="E279">
        <v>3772.32</v>
      </c>
      <c r="F279">
        <v>31</v>
      </c>
      <c r="G279" t="s">
        <v>16</v>
      </c>
      <c r="H279">
        <v>2403.16</v>
      </c>
      <c r="I279">
        <v>2453.35</v>
      </c>
      <c r="J279" t="s">
        <v>17</v>
      </c>
      <c r="K279">
        <v>0.19</v>
      </c>
      <c r="L279" t="s">
        <v>31</v>
      </c>
      <c r="M279" t="s">
        <v>19</v>
      </c>
      <c r="N279" t="s">
        <v>32</v>
      </c>
    </row>
    <row r="280" spans="1:14" x14ac:dyDescent="0.3">
      <c r="A280">
        <v>1089</v>
      </c>
      <c r="B280" s="1">
        <v>45103</v>
      </c>
      <c r="C280" t="s">
        <v>38</v>
      </c>
      <c r="D280" t="s">
        <v>15</v>
      </c>
      <c r="E280">
        <v>9029.2099999999991</v>
      </c>
      <c r="F280">
        <v>35</v>
      </c>
      <c r="G280" t="s">
        <v>16</v>
      </c>
      <c r="H280">
        <v>3925.85</v>
      </c>
      <c r="I280">
        <v>4082.1099999999997</v>
      </c>
      <c r="J280" t="s">
        <v>30</v>
      </c>
      <c r="K280">
        <v>0.22</v>
      </c>
      <c r="L280" t="s">
        <v>18</v>
      </c>
      <c r="M280" t="s">
        <v>19</v>
      </c>
      <c r="N280" t="s">
        <v>40</v>
      </c>
    </row>
    <row r="281" spans="1:14" x14ac:dyDescent="0.3">
      <c r="A281">
        <v>1050</v>
      </c>
      <c r="B281" s="1">
        <v>45074</v>
      </c>
      <c r="C281" t="s">
        <v>42</v>
      </c>
      <c r="D281" t="s">
        <v>15</v>
      </c>
      <c r="E281">
        <v>8086.27</v>
      </c>
      <c r="F281">
        <v>6</v>
      </c>
      <c r="G281" t="s">
        <v>16</v>
      </c>
      <c r="H281">
        <v>3763.26</v>
      </c>
      <c r="I281">
        <v>4102.72</v>
      </c>
      <c r="J281" t="s">
        <v>30</v>
      </c>
      <c r="K281">
        <v>0.11</v>
      </c>
      <c r="L281" t="s">
        <v>31</v>
      </c>
      <c r="M281" t="s">
        <v>22</v>
      </c>
      <c r="N281" t="s">
        <v>49</v>
      </c>
    </row>
    <row r="282" spans="1:14" x14ac:dyDescent="0.3">
      <c r="A282">
        <v>1023</v>
      </c>
      <c r="B282" s="1">
        <v>45044</v>
      </c>
      <c r="C282" t="s">
        <v>33</v>
      </c>
      <c r="D282" t="s">
        <v>15</v>
      </c>
      <c r="E282">
        <v>9850.1</v>
      </c>
      <c r="F282">
        <v>5</v>
      </c>
      <c r="G282" t="s">
        <v>35</v>
      </c>
      <c r="H282">
        <v>2311.25</v>
      </c>
      <c r="I282">
        <v>2482.34</v>
      </c>
      <c r="J282" t="s">
        <v>17</v>
      </c>
      <c r="K282">
        <v>0.22</v>
      </c>
      <c r="L282" t="s">
        <v>31</v>
      </c>
      <c r="M282" t="s">
        <v>22</v>
      </c>
      <c r="N282" t="s">
        <v>53</v>
      </c>
    </row>
    <row r="283" spans="1:14" x14ac:dyDescent="0.3">
      <c r="A283">
        <v>1031</v>
      </c>
      <c r="B283" s="1">
        <v>45268</v>
      </c>
      <c r="C283" t="s">
        <v>24</v>
      </c>
      <c r="D283" t="s">
        <v>15</v>
      </c>
      <c r="E283">
        <v>7567.06</v>
      </c>
      <c r="F283">
        <v>22</v>
      </c>
      <c r="G283" t="s">
        <v>26</v>
      </c>
      <c r="H283">
        <v>4236.05</v>
      </c>
      <c r="I283">
        <v>4382.3200000000006</v>
      </c>
      <c r="J283" t="s">
        <v>30</v>
      </c>
      <c r="K283">
        <v>0.2</v>
      </c>
      <c r="L283" t="s">
        <v>27</v>
      </c>
      <c r="M283" t="s">
        <v>19</v>
      </c>
      <c r="N283" t="s">
        <v>45</v>
      </c>
    </row>
    <row r="284" spans="1:14" x14ac:dyDescent="0.3">
      <c r="A284">
        <v>1094</v>
      </c>
      <c r="B284" s="1">
        <v>44989</v>
      </c>
      <c r="C284" t="s">
        <v>14</v>
      </c>
      <c r="D284" t="s">
        <v>15</v>
      </c>
      <c r="E284">
        <v>3992.63</v>
      </c>
      <c r="F284">
        <v>49</v>
      </c>
      <c r="G284" t="s">
        <v>26</v>
      </c>
      <c r="H284">
        <v>615.47</v>
      </c>
      <c r="I284">
        <v>715.84</v>
      </c>
      <c r="J284" t="s">
        <v>17</v>
      </c>
      <c r="K284">
        <v>0.21</v>
      </c>
      <c r="L284" t="s">
        <v>31</v>
      </c>
      <c r="M284" t="s">
        <v>22</v>
      </c>
      <c r="N284" t="s">
        <v>20</v>
      </c>
    </row>
    <row r="285" spans="1:14" x14ac:dyDescent="0.3">
      <c r="A285">
        <v>1042</v>
      </c>
      <c r="B285" s="1">
        <v>45115</v>
      </c>
      <c r="C285" t="s">
        <v>42</v>
      </c>
      <c r="D285" t="s">
        <v>34</v>
      </c>
      <c r="E285">
        <v>5947.31</v>
      </c>
      <c r="F285">
        <v>23</v>
      </c>
      <c r="G285" t="s">
        <v>35</v>
      </c>
      <c r="H285">
        <v>1314</v>
      </c>
      <c r="I285">
        <v>1567.78</v>
      </c>
      <c r="J285" t="s">
        <v>17</v>
      </c>
      <c r="K285">
        <v>0.15</v>
      </c>
      <c r="L285" t="s">
        <v>31</v>
      </c>
      <c r="M285" t="s">
        <v>22</v>
      </c>
      <c r="N285" t="s">
        <v>52</v>
      </c>
    </row>
    <row r="286" spans="1:14" x14ac:dyDescent="0.3">
      <c r="A286">
        <v>1099</v>
      </c>
      <c r="B286" s="1">
        <v>45286</v>
      </c>
      <c r="C286" t="s">
        <v>38</v>
      </c>
      <c r="D286" t="s">
        <v>21</v>
      </c>
      <c r="E286">
        <v>6644.04</v>
      </c>
      <c r="F286">
        <v>25</v>
      </c>
      <c r="G286" t="s">
        <v>35</v>
      </c>
      <c r="H286">
        <v>4148.4799999999996</v>
      </c>
      <c r="I286">
        <v>4293.6899999999996</v>
      </c>
      <c r="J286" t="s">
        <v>30</v>
      </c>
      <c r="K286">
        <v>0.11</v>
      </c>
      <c r="L286" t="s">
        <v>27</v>
      </c>
      <c r="M286" t="s">
        <v>19</v>
      </c>
      <c r="N286" t="s">
        <v>41</v>
      </c>
    </row>
    <row r="287" spans="1:14" x14ac:dyDescent="0.3">
      <c r="A287">
        <v>1007</v>
      </c>
      <c r="B287" s="1">
        <v>44975</v>
      </c>
      <c r="C287" t="s">
        <v>42</v>
      </c>
      <c r="D287" t="s">
        <v>25</v>
      </c>
      <c r="E287">
        <v>876.71</v>
      </c>
      <c r="F287">
        <v>34</v>
      </c>
      <c r="G287" t="s">
        <v>29</v>
      </c>
      <c r="H287">
        <v>1921.07</v>
      </c>
      <c r="I287">
        <v>2289.27</v>
      </c>
      <c r="J287" t="s">
        <v>17</v>
      </c>
      <c r="K287">
        <v>7.0000000000000007E-2</v>
      </c>
      <c r="L287" t="s">
        <v>27</v>
      </c>
      <c r="M287" t="s">
        <v>22</v>
      </c>
      <c r="N287" t="s">
        <v>43</v>
      </c>
    </row>
    <row r="288" spans="1:14" x14ac:dyDescent="0.3">
      <c r="A288">
        <v>1016</v>
      </c>
      <c r="B288" s="1">
        <v>45253</v>
      </c>
      <c r="C288" t="s">
        <v>38</v>
      </c>
      <c r="D288" t="s">
        <v>34</v>
      </c>
      <c r="E288">
        <v>5490.52</v>
      </c>
      <c r="F288">
        <v>26</v>
      </c>
      <c r="G288" t="s">
        <v>29</v>
      </c>
      <c r="H288">
        <v>4906.8500000000004</v>
      </c>
      <c r="I288">
        <v>4954.3900000000003</v>
      </c>
      <c r="J288" t="s">
        <v>30</v>
      </c>
      <c r="K288">
        <v>0.25</v>
      </c>
      <c r="L288" t="s">
        <v>27</v>
      </c>
      <c r="M288" t="s">
        <v>19</v>
      </c>
      <c r="N288" t="s">
        <v>48</v>
      </c>
    </row>
    <row r="289" spans="1:14" x14ac:dyDescent="0.3">
      <c r="A289">
        <v>1090</v>
      </c>
      <c r="B289" s="1">
        <v>45183</v>
      </c>
      <c r="C289" t="s">
        <v>33</v>
      </c>
      <c r="D289" t="s">
        <v>21</v>
      </c>
      <c r="E289">
        <v>7122.28</v>
      </c>
      <c r="F289">
        <v>47</v>
      </c>
      <c r="G289" t="s">
        <v>29</v>
      </c>
      <c r="H289">
        <v>2357.9499999999998</v>
      </c>
      <c r="I289">
        <v>2693.33</v>
      </c>
      <c r="J289" t="s">
        <v>30</v>
      </c>
      <c r="K289">
        <v>0.18</v>
      </c>
      <c r="L289" t="s">
        <v>27</v>
      </c>
      <c r="M289" t="s">
        <v>19</v>
      </c>
      <c r="N289" t="s">
        <v>37</v>
      </c>
    </row>
    <row r="290" spans="1:14" x14ac:dyDescent="0.3">
      <c r="A290">
        <v>1060</v>
      </c>
      <c r="B290" s="1">
        <v>45150</v>
      </c>
      <c r="C290" t="s">
        <v>24</v>
      </c>
      <c r="D290" t="s">
        <v>15</v>
      </c>
      <c r="E290">
        <v>1756.48</v>
      </c>
      <c r="F290">
        <v>5</v>
      </c>
      <c r="G290" t="s">
        <v>16</v>
      </c>
      <c r="H290">
        <v>3970.08</v>
      </c>
      <c r="I290">
        <v>4096.4799999999996</v>
      </c>
      <c r="J290" t="s">
        <v>17</v>
      </c>
      <c r="K290">
        <v>0.13</v>
      </c>
      <c r="L290" t="s">
        <v>18</v>
      </c>
      <c r="M290" t="s">
        <v>22</v>
      </c>
      <c r="N290" t="s">
        <v>45</v>
      </c>
    </row>
    <row r="291" spans="1:14" x14ac:dyDescent="0.3">
      <c r="A291">
        <v>1002</v>
      </c>
      <c r="B291" s="1">
        <v>45067</v>
      </c>
      <c r="C291" t="s">
        <v>33</v>
      </c>
      <c r="D291" t="s">
        <v>21</v>
      </c>
      <c r="E291">
        <v>7828.25</v>
      </c>
      <c r="F291">
        <v>26</v>
      </c>
      <c r="G291" t="s">
        <v>29</v>
      </c>
      <c r="H291">
        <v>2041.42</v>
      </c>
      <c r="I291">
        <v>2291.17</v>
      </c>
      <c r="J291" t="s">
        <v>17</v>
      </c>
      <c r="K291">
        <v>0.28000000000000003</v>
      </c>
      <c r="L291" t="s">
        <v>18</v>
      </c>
      <c r="M291" t="s">
        <v>19</v>
      </c>
      <c r="N291" t="s">
        <v>37</v>
      </c>
    </row>
    <row r="292" spans="1:14" x14ac:dyDescent="0.3">
      <c r="A292">
        <v>1001</v>
      </c>
      <c r="B292" s="1">
        <v>45141</v>
      </c>
      <c r="C292" t="s">
        <v>14</v>
      </c>
      <c r="D292" t="s">
        <v>21</v>
      </c>
      <c r="E292">
        <v>5879.35</v>
      </c>
      <c r="F292">
        <v>20</v>
      </c>
      <c r="G292" t="s">
        <v>26</v>
      </c>
      <c r="H292">
        <v>2153.52</v>
      </c>
      <c r="I292">
        <v>2303.6999999999998</v>
      </c>
      <c r="J292" t="s">
        <v>17</v>
      </c>
      <c r="K292">
        <v>0.01</v>
      </c>
      <c r="L292" t="s">
        <v>18</v>
      </c>
      <c r="M292" t="s">
        <v>22</v>
      </c>
      <c r="N292" t="s">
        <v>23</v>
      </c>
    </row>
    <row r="293" spans="1:14" x14ac:dyDescent="0.3">
      <c r="A293">
        <v>1048</v>
      </c>
      <c r="B293" s="1">
        <v>45137</v>
      </c>
      <c r="C293" t="s">
        <v>42</v>
      </c>
      <c r="D293" t="s">
        <v>15</v>
      </c>
      <c r="E293">
        <v>9527</v>
      </c>
      <c r="F293">
        <v>6</v>
      </c>
      <c r="G293" t="s">
        <v>16</v>
      </c>
      <c r="H293">
        <v>1945.27</v>
      </c>
      <c r="I293">
        <v>2309.4299999999998</v>
      </c>
      <c r="J293" t="s">
        <v>30</v>
      </c>
      <c r="K293">
        <v>0.26</v>
      </c>
      <c r="L293" t="s">
        <v>31</v>
      </c>
      <c r="M293" t="s">
        <v>19</v>
      </c>
      <c r="N293" t="s">
        <v>49</v>
      </c>
    </row>
    <row r="294" spans="1:14" x14ac:dyDescent="0.3">
      <c r="A294">
        <v>1012</v>
      </c>
      <c r="B294" s="1">
        <v>45244</v>
      </c>
      <c r="C294" t="s">
        <v>38</v>
      </c>
      <c r="D294" t="s">
        <v>15</v>
      </c>
      <c r="E294">
        <v>519.98</v>
      </c>
      <c r="F294">
        <v>6</v>
      </c>
      <c r="G294" t="s">
        <v>29</v>
      </c>
      <c r="H294">
        <v>3609.42</v>
      </c>
      <c r="I294">
        <v>4082.62</v>
      </c>
      <c r="J294" t="s">
        <v>17</v>
      </c>
      <c r="K294">
        <v>0.3</v>
      </c>
      <c r="L294" t="s">
        <v>27</v>
      </c>
      <c r="M294" t="s">
        <v>22</v>
      </c>
      <c r="N294" t="s">
        <v>40</v>
      </c>
    </row>
    <row r="295" spans="1:14" x14ac:dyDescent="0.3">
      <c r="A295">
        <v>1069</v>
      </c>
      <c r="B295" s="1">
        <v>44958</v>
      </c>
      <c r="C295" t="s">
        <v>38</v>
      </c>
      <c r="D295" t="s">
        <v>15</v>
      </c>
      <c r="E295">
        <v>2726.73</v>
      </c>
      <c r="F295">
        <v>18</v>
      </c>
      <c r="G295" t="s">
        <v>16</v>
      </c>
      <c r="H295">
        <v>2760.21</v>
      </c>
      <c r="I295">
        <v>3219.58</v>
      </c>
      <c r="J295" t="s">
        <v>30</v>
      </c>
      <c r="K295">
        <v>0.27</v>
      </c>
      <c r="L295" t="s">
        <v>27</v>
      </c>
      <c r="M295" t="s">
        <v>22</v>
      </c>
      <c r="N295" t="s">
        <v>40</v>
      </c>
    </row>
    <row r="296" spans="1:14" x14ac:dyDescent="0.3">
      <c r="A296">
        <v>1037</v>
      </c>
      <c r="B296" s="1">
        <v>45084</v>
      </c>
      <c r="C296" t="s">
        <v>42</v>
      </c>
      <c r="D296" t="s">
        <v>25</v>
      </c>
      <c r="E296">
        <v>6055.38</v>
      </c>
      <c r="F296">
        <v>4</v>
      </c>
      <c r="G296" t="s">
        <v>26</v>
      </c>
      <c r="H296">
        <v>4721.7</v>
      </c>
      <c r="I296">
        <v>5017.58</v>
      </c>
      <c r="J296" t="s">
        <v>30</v>
      </c>
      <c r="K296">
        <v>0.24</v>
      </c>
      <c r="L296" t="s">
        <v>18</v>
      </c>
      <c r="M296" t="s">
        <v>22</v>
      </c>
      <c r="N296" t="s">
        <v>43</v>
      </c>
    </row>
    <row r="297" spans="1:14" x14ac:dyDescent="0.3">
      <c r="A297">
        <v>1032</v>
      </c>
      <c r="B297" s="1">
        <v>45211</v>
      </c>
      <c r="C297" t="s">
        <v>42</v>
      </c>
      <c r="D297" t="s">
        <v>15</v>
      </c>
      <c r="E297">
        <v>3035.94</v>
      </c>
      <c r="F297">
        <v>17</v>
      </c>
      <c r="G297" t="s">
        <v>29</v>
      </c>
      <c r="H297">
        <v>1291.9100000000001</v>
      </c>
      <c r="I297">
        <v>1528.5900000000001</v>
      </c>
      <c r="J297" t="s">
        <v>17</v>
      </c>
      <c r="K297">
        <v>0.11</v>
      </c>
      <c r="L297" t="s">
        <v>31</v>
      </c>
      <c r="M297" t="s">
        <v>22</v>
      </c>
      <c r="N297" t="s">
        <v>49</v>
      </c>
    </row>
    <row r="298" spans="1:14" x14ac:dyDescent="0.3">
      <c r="A298">
        <v>1009</v>
      </c>
      <c r="B298" s="1">
        <v>45231</v>
      </c>
      <c r="C298" t="s">
        <v>14</v>
      </c>
      <c r="D298" t="s">
        <v>25</v>
      </c>
      <c r="E298">
        <v>7172.8</v>
      </c>
      <c r="F298">
        <v>14</v>
      </c>
      <c r="G298" t="s">
        <v>26</v>
      </c>
      <c r="H298">
        <v>547.79</v>
      </c>
      <c r="I298">
        <v>958.76</v>
      </c>
      <c r="J298" t="s">
        <v>17</v>
      </c>
      <c r="K298">
        <v>7.0000000000000007E-2</v>
      </c>
      <c r="L298" t="s">
        <v>31</v>
      </c>
      <c r="M298" t="s">
        <v>22</v>
      </c>
      <c r="N298" t="s">
        <v>32</v>
      </c>
    </row>
    <row r="299" spans="1:14" x14ac:dyDescent="0.3">
      <c r="A299">
        <v>1099</v>
      </c>
      <c r="B299" s="1">
        <v>45212</v>
      </c>
      <c r="C299" t="s">
        <v>33</v>
      </c>
      <c r="D299" t="s">
        <v>15</v>
      </c>
      <c r="E299">
        <v>7614.15</v>
      </c>
      <c r="F299">
        <v>14</v>
      </c>
      <c r="G299" t="s">
        <v>26</v>
      </c>
      <c r="H299">
        <v>1996.64</v>
      </c>
      <c r="I299">
        <v>2341.4700000000003</v>
      </c>
      <c r="J299" t="s">
        <v>17</v>
      </c>
      <c r="K299">
        <v>0.22</v>
      </c>
      <c r="L299" t="s">
        <v>31</v>
      </c>
      <c r="M299" t="s">
        <v>19</v>
      </c>
      <c r="N299" t="s">
        <v>53</v>
      </c>
    </row>
    <row r="300" spans="1:14" x14ac:dyDescent="0.3">
      <c r="A300">
        <v>1019</v>
      </c>
      <c r="B300" s="1">
        <v>45070</v>
      </c>
      <c r="C300" t="s">
        <v>38</v>
      </c>
      <c r="D300" t="s">
        <v>25</v>
      </c>
      <c r="E300">
        <v>1114.9100000000001</v>
      </c>
      <c r="F300">
        <v>13</v>
      </c>
      <c r="G300" t="s">
        <v>26</v>
      </c>
      <c r="H300">
        <v>3102.73</v>
      </c>
      <c r="I300">
        <v>3202.68</v>
      </c>
      <c r="J300" t="s">
        <v>30</v>
      </c>
      <c r="K300">
        <v>0.09</v>
      </c>
      <c r="L300" t="s">
        <v>18</v>
      </c>
      <c r="M300" t="s">
        <v>19</v>
      </c>
      <c r="N300" t="s">
        <v>39</v>
      </c>
    </row>
    <row r="301" spans="1:14" x14ac:dyDescent="0.3">
      <c r="A301">
        <v>1048</v>
      </c>
      <c r="B301" s="1">
        <v>44945</v>
      </c>
      <c r="C301" t="s">
        <v>14</v>
      </c>
      <c r="D301" t="s">
        <v>21</v>
      </c>
      <c r="E301">
        <v>5187.16</v>
      </c>
      <c r="F301">
        <v>7</v>
      </c>
      <c r="G301" t="s">
        <v>29</v>
      </c>
      <c r="H301">
        <v>4310.95</v>
      </c>
      <c r="I301">
        <v>4723.2</v>
      </c>
      <c r="J301" t="s">
        <v>17</v>
      </c>
      <c r="K301">
        <v>0.05</v>
      </c>
      <c r="L301" t="s">
        <v>31</v>
      </c>
      <c r="M301" t="s">
        <v>22</v>
      </c>
      <c r="N301"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E7CAC-D6A0-4F97-A5BA-DD8918F81BC2}">
  <dimension ref="A1:H22"/>
  <sheetViews>
    <sheetView workbookViewId="0">
      <selection activeCell="G10" sqref="G10"/>
    </sheetView>
  </sheetViews>
  <sheetFormatPr defaultRowHeight="15.05" x14ac:dyDescent="0.3"/>
  <cols>
    <col min="1" max="1" width="12.44140625" bestFit="1" customWidth="1"/>
    <col min="2" max="2" width="19.77734375" bestFit="1" customWidth="1"/>
    <col min="4" max="4" width="12.44140625" bestFit="1" customWidth="1"/>
    <col min="5" max="5" width="19.77734375" bestFit="1" customWidth="1"/>
    <col min="6" max="6" width="17" bestFit="1" customWidth="1"/>
    <col min="7" max="7" width="12.44140625" bestFit="1" customWidth="1"/>
    <col min="8" max="8" width="19.6640625" bestFit="1" customWidth="1"/>
    <col min="9" max="9" width="17" bestFit="1" customWidth="1"/>
  </cols>
  <sheetData>
    <row r="1" spans="1:8" x14ac:dyDescent="0.3">
      <c r="A1" s="2" t="s">
        <v>54</v>
      </c>
      <c r="B1" t="s">
        <v>56</v>
      </c>
      <c r="D1" s="2" t="s">
        <v>54</v>
      </c>
      <c r="E1" t="s">
        <v>56</v>
      </c>
      <c r="G1" s="2" t="s">
        <v>54</v>
      </c>
      <c r="H1" t="s">
        <v>56</v>
      </c>
    </row>
    <row r="2" spans="1:8" x14ac:dyDescent="0.3">
      <c r="A2" s="3" t="s">
        <v>52</v>
      </c>
      <c r="B2">
        <v>101994.18999999999</v>
      </c>
      <c r="D2" s="3" t="s">
        <v>29</v>
      </c>
      <c r="E2">
        <v>434826.10000000015</v>
      </c>
      <c r="G2" s="3" t="s">
        <v>42</v>
      </c>
      <c r="H2">
        <v>280327.55000000005</v>
      </c>
    </row>
    <row r="3" spans="1:8" x14ac:dyDescent="0.3">
      <c r="A3" s="3" t="s">
        <v>46</v>
      </c>
      <c r="B3">
        <v>74834.559999999998</v>
      </c>
      <c r="D3" s="3" t="s">
        <v>35</v>
      </c>
      <c r="E3">
        <v>330938.12999999995</v>
      </c>
      <c r="G3" s="3" t="s">
        <v>14</v>
      </c>
      <c r="H3">
        <v>344781.54</v>
      </c>
    </row>
    <row r="4" spans="1:8" x14ac:dyDescent="0.3">
      <c r="A4" s="3" t="s">
        <v>36</v>
      </c>
      <c r="B4">
        <v>37266.299999999988</v>
      </c>
      <c r="D4" s="3" t="s">
        <v>26</v>
      </c>
      <c r="E4">
        <v>367360.80000000005</v>
      </c>
      <c r="G4" s="3" t="s">
        <v>33</v>
      </c>
      <c r="H4">
        <v>252178.35</v>
      </c>
    </row>
    <row r="5" spans="1:8" x14ac:dyDescent="0.3">
      <c r="A5" s="3" t="s">
        <v>50</v>
      </c>
      <c r="B5">
        <v>101882.41</v>
      </c>
      <c r="D5" s="3" t="s">
        <v>16</v>
      </c>
      <c r="E5">
        <v>362271.30999999994</v>
      </c>
      <c r="G5" s="3" t="s">
        <v>24</v>
      </c>
      <c r="H5">
        <v>305479.97000000003</v>
      </c>
    </row>
    <row r="6" spans="1:8" x14ac:dyDescent="0.3">
      <c r="A6" s="3" t="s">
        <v>48</v>
      </c>
      <c r="B6">
        <v>51637.19</v>
      </c>
      <c r="D6" s="3" t="s">
        <v>55</v>
      </c>
      <c r="E6">
        <v>1495396.3400000003</v>
      </c>
      <c r="G6" s="3" t="s">
        <v>38</v>
      </c>
      <c r="H6">
        <v>312628.93</v>
      </c>
    </row>
    <row r="7" spans="1:8" x14ac:dyDescent="0.3">
      <c r="A7" s="3" t="s">
        <v>49</v>
      </c>
      <c r="B7">
        <v>57521.86</v>
      </c>
      <c r="G7" s="3" t="s">
        <v>55</v>
      </c>
      <c r="H7">
        <v>1495396.34</v>
      </c>
    </row>
    <row r="8" spans="1:8" x14ac:dyDescent="0.3">
      <c r="A8" s="3" t="s">
        <v>20</v>
      </c>
      <c r="B8">
        <v>77296.03</v>
      </c>
    </row>
    <row r="9" spans="1:8" x14ac:dyDescent="0.3">
      <c r="A9" s="3" t="s">
        <v>53</v>
      </c>
      <c r="B9">
        <v>95201.430000000008</v>
      </c>
      <c r="D9" s="2" t="s">
        <v>54</v>
      </c>
      <c r="E9" t="s">
        <v>56</v>
      </c>
      <c r="G9" s="2" t="s">
        <v>54</v>
      </c>
      <c r="H9" t="s">
        <v>69</v>
      </c>
    </row>
    <row r="10" spans="1:8" x14ac:dyDescent="0.3">
      <c r="A10" s="3" t="s">
        <v>45</v>
      </c>
      <c r="B10">
        <v>69579.849999999991</v>
      </c>
      <c r="D10" s="3" t="s">
        <v>57</v>
      </c>
      <c r="E10">
        <v>122790.66999999997</v>
      </c>
      <c r="G10" s="3" t="s">
        <v>19</v>
      </c>
      <c r="H10">
        <v>3833</v>
      </c>
    </row>
    <row r="11" spans="1:8" x14ac:dyDescent="0.3">
      <c r="A11" s="3" t="s">
        <v>40</v>
      </c>
      <c r="B11">
        <v>116256.32999999999</v>
      </c>
      <c r="D11" s="3" t="s">
        <v>58</v>
      </c>
      <c r="E11">
        <v>90326.64</v>
      </c>
      <c r="G11" s="3" t="s">
        <v>22</v>
      </c>
      <c r="H11">
        <v>3809</v>
      </c>
    </row>
    <row r="12" spans="1:8" x14ac:dyDescent="0.3">
      <c r="A12" s="3" t="s">
        <v>43</v>
      </c>
      <c r="B12">
        <v>69096.89</v>
      </c>
      <c r="D12" s="3" t="s">
        <v>59</v>
      </c>
      <c r="E12">
        <v>111951.86999999998</v>
      </c>
      <c r="G12" s="3" t="s">
        <v>55</v>
      </c>
      <c r="H12">
        <v>7642</v>
      </c>
    </row>
    <row r="13" spans="1:8" x14ac:dyDescent="0.3">
      <c r="A13" s="3" t="s">
        <v>32</v>
      </c>
      <c r="B13">
        <v>99105.440000000017</v>
      </c>
      <c r="D13" s="3" t="s">
        <v>60</v>
      </c>
      <c r="E13">
        <v>128099.13</v>
      </c>
    </row>
    <row r="14" spans="1:8" x14ac:dyDescent="0.3">
      <c r="A14" s="3" t="s">
        <v>44</v>
      </c>
      <c r="B14">
        <v>27116.979999999996</v>
      </c>
      <c r="D14" s="3" t="s">
        <v>61</v>
      </c>
      <c r="E14">
        <v>162884.04999999999</v>
      </c>
    </row>
    <row r="15" spans="1:8" x14ac:dyDescent="0.3">
      <c r="A15" s="3" t="s">
        <v>28</v>
      </c>
      <c r="B15">
        <v>65718.859999999986</v>
      </c>
      <c r="D15" s="3" t="s">
        <v>62</v>
      </c>
      <c r="E15">
        <v>123205.06999999998</v>
      </c>
    </row>
    <row r="16" spans="1:8" x14ac:dyDescent="0.3">
      <c r="A16" s="3" t="s">
        <v>39</v>
      </c>
      <c r="B16">
        <v>62791.1</v>
      </c>
      <c r="D16" s="3" t="s">
        <v>63</v>
      </c>
      <c r="E16">
        <v>86673.600000000006</v>
      </c>
    </row>
    <row r="17" spans="1:5" x14ac:dyDescent="0.3">
      <c r="A17" s="3" t="s">
        <v>51</v>
      </c>
      <c r="B17">
        <v>51714.610000000008</v>
      </c>
      <c r="D17" s="3" t="s">
        <v>64</v>
      </c>
      <c r="E17">
        <v>86736.049999999988</v>
      </c>
    </row>
    <row r="18" spans="1:5" x14ac:dyDescent="0.3">
      <c r="A18" s="3" t="s">
        <v>23</v>
      </c>
      <c r="B18">
        <v>93545.510000000009</v>
      </c>
      <c r="D18" s="3" t="s">
        <v>65</v>
      </c>
      <c r="E18">
        <v>100084.35</v>
      </c>
    </row>
    <row r="19" spans="1:5" x14ac:dyDescent="0.3">
      <c r="A19" s="3" t="s">
        <v>37</v>
      </c>
      <c r="B19">
        <v>92593.639999999985</v>
      </c>
      <c r="D19" s="3" t="s">
        <v>66</v>
      </c>
      <c r="E19">
        <v>167573.07999999999</v>
      </c>
    </row>
    <row r="20" spans="1:5" x14ac:dyDescent="0.3">
      <c r="A20" s="3" t="s">
        <v>47</v>
      </c>
      <c r="B20">
        <v>68298.849999999991</v>
      </c>
      <c r="D20" s="3" t="s">
        <v>67</v>
      </c>
      <c r="E20">
        <v>176033.99999999997</v>
      </c>
    </row>
    <row r="21" spans="1:5" x14ac:dyDescent="0.3">
      <c r="A21" s="3" t="s">
        <v>41</v>
      </c>
      <c r="B21">
        <v>81944.309999999983</v>
      </c>
      <c r="D21" s="3" t="s">
        <v>68</v>
      </c>
      <c r="E21">
        <v>139037.83000000002</v>
      </c>
    </row>
    <row r="22" spans="1:5" x14ac:dyDescent="0.3">
      <c r="A22" s="3" t="s">
        <v>55</v>
      </c>
      <c r="B22">
        <v>1495396.34</v>
      </c>
      <c r="D22" s="3" t="s">
        <v>55</v>
      </c>
      <c r="E22">
        <v>1495396.3399999999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DE7F1-20D6-4AD9-8ED1-4BC28626CFB7}">
  <dimension ref="A1:B5"/>
  <sheetViews>
    <sheetView workbookViewId="0">
      <selection activeCell="L3" sqref="L3"/>
    </sheetView>
  </sheetViews>
  <sheetFormatPr defaultRowHeight="15.05" x14ac:dyDescent="0.3"/>
  <cols>
    <col min="1" max="1" width="27.88671875" bestFit="1" customWidth="1"/>
    <col min="2" max="2" width="19.6640625" bestFit="1" customWidth="1"/>
  </cols>
  <sheetData>
    <row r="1" spans="1:2" ht="28.2" x14ac:dyDescent="0.5">
      <c r="A1" s="4" t="s">
        <v>70</v>
      </c>
      <c r="B1" s="5">
        <f>SUM(sales_data[Sales_Amount])</f>
        <v>1495396.3399999989</v>
      </c>
    </row>
    <row r="3" spans="1:2" ht="28.2" x14ac:dyDescent="0.5">
      <c r="A3" s="4" t="s">
        <v>71</v>
      </c>
      <c r="B3" s="6">
        <f>COUNTA(sales_data[Product_ID])</f>
        <v>300</v>
      </c>
    </row>
    <row r="5" spans="1:2" ht="28.2" x14ac:dyDescent="0.5">
      <c r="A5" s="4" t="s">
        <v>72</v>
      </c>
      <c r="B5" s="7">
        <f>AVERAGE(sales_data[Sales_Amount])</f>
        <v>4984.6544666666632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89797-9B6D-4BA7-A3BF-F3A35A8255BA}">
  <dimension ref="A1:B6"/>
  <sheetViews>
    <sheetView workbookViewId="0">
      <selection activeCell="J11" sqref="J11"/>
    </sheetView>
  </sheetViews>
  <sheetFormatPr defaultRowHeight="15.05" x14ac:dyDescent="0.3"/>
  <cols>
    <col min="1" max="1" width="21.88671875" bestFit="1" customWidth="1"/>
    <col min="2" max="2" width="18.33203125" customWidth="1"/>
  </cols>
  <sheetData>
    <row r="1" spans="1:2" ht="26.3" x14ac:dyDescent="0.5">
      <c r="A1" s="8" t="s">
        <v>73</v>
      </c>
      <c r="B1" s="8" t="s">
        <v>74</v>
      </c>
    </row>
    <row r="2" spans="1:2" ht="26.3" x14ac:dyDescent="0.5">
      <c r="A2" s="9" t="s">
        <v>75</v>
      </c>
      <c r="B2" s="10">
        <f>SUM(sales_data[Sales_Amount])</f>
        <v>1495396.3399999989</v>
      </c>
    </row>
    <row r="3" spans="1:2" ht="26.3" x14ac:dyDescent="0.5">
      <c r="A3" s="9" t="s">
        <v>76</v>
      </c>
      <c r="B3" s="11">
        <f>COUNTA(sales_data[Product_ID])</f>
        <v>300</v>
      </c>
    </row>
    <row r="4" spans="1:2" ht="26.3" x14ac:dyDescent="0.5">
      <c r="A4" s="9" t="s">
        <v>77</v>
      </c>
      <c r="B4" s="12">
        <f>AVERAGE(sales_data[Sales_Amount])</f>
        <v>4984.6544666666632</v>
      </c>
    </row>
    <row r="5" spans="1:2" ht="26.3" x14ac:dyDescent="0.5">
      <c r="A5" s="9" t="s">
        <v>78</v>
      </c>
      <c r="B5" s="10">
        <f>MAX(sales_data[Sales_Amount])</f>
        <v>9948.7099999999991</v>
      </c>
    </row>
    <row r="6" spans="1:2" ht="26.3" x14ac:dyDescent="0.5">
      <c r="A6" s="9" t="s">
        <v>79</v>
      </c>
      <c r="B6" s="11">
        <f>MIN(sales_data[Sales_Amount])</f>
        <v>100.12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33C6E-3869-488A-885F-C897611DD26F}">
  <dimension ref="A1:K12"/>
  <sheetViews>
    <sheetView showGridLines="0" showRowColHeaders="0" tabSelected="1" workbookViewId="0">
      <selection activeCell="A2" sqref="A2"/>
    </sheetView>
  </sheetViews>
  <sheetFormatPr defaultRowHeight="15.05" x14ac:dyDescent="0.3"/>
  <sheetData>
    <row r="1" spans="1:11" ht="36.35" x14ac:dyDescent="0.65">
      <c r="A1" s="15" t="s">
        <v>84</v>
      </c>
      <c r="B1" s="16"/>
      <c r="C1" s="16"/>
      <c r="D1" s="16"/>
      <c r="E1" s="16"/>
      <c r="F1" s="16"/>
      <c r="G1" s="17"/>
      <c r="H1" s="17"/>
      <c r="I1" s="17"/>
      <c r="J1" s="17"/>
      <c r="K1" s="17"/>
    </row>
    <row r="2" spans="1:11" ht="36.35" x14ac:dyDescent="0.65">
      <c r="A2" s="16" t="s">
        <v>80</v>
      </c>
      <c r="B2" s="16"/>
      <c r="C2" s="16"/>
      <c r="D2" s="16"/>
      <c r="E2" s="16"/>
      <c r="F2" s="16"/>
      <c r="G2" s="17"/>
      <c r="H2" s="17"/>
      <c r="I2" s="17"/>
      <c r="J2" s="17"/>
      <c r="K2" s="17"/>
    </row>
    <row r="3" spans="1:11" ht="36.35" x14ac:dyDescent="0.65">
      <c r="A3" s="16" t="s">
        <v>83</v>
      </c>
      <c r="B3" s="16"/>
      <c r="C3" s="16"/>
      <c r="D3" s="16"/>
      <c r="E3" s="16"/>
      <c r="F3" s="16"/>
      <c r="G3" s="17"/>
      <c r="H3" s="17"/>
      <c r="I3" s="17"/>
      <c r="J3" s="17"/>
      <c r="K3" s="17"/>
    </row>
    <row r="4" spans="1:11" ht="36.35" x14ac:dyDescent="0.65">
      <c r="A4" s="16" t="s">
        <v>82</v>
      </c>
      <c r="B4" s="16"/>
      <c r="C4" s="16"/>
      <c r="D4" s="16"/>
      <c r="E4" s="16"/>
      <c r="F4" s="16"/>
      <c r="G4" s="17"/>
      <c r="H4" s="17"/>
      <c r="I4" s="17"/>
      <c r="J4" s="17"/>
      <c r="K4" s="17"/>
    </row>
    <row r="5" spans="1:11" ht="36.35" x14ac:dyDescent="0.65">
      <c r="A5" s="16" t="s">
        <v>81</v>
      </c>
      <c r="B5" s="16"/>
      <c r="C5" s="16"/>
      <c r="D5" s="16"/>
      <c r="E5" s="16"/>
      <c r="F5" s="16"/>
      <c r="G5" s="17"/>
      <c r="H5" s="17"/>
      <c r="I5" s="17"/>
      <c r="J5" s="17"/>
      <c r="K5" s="17"/>
    </row>
    <row r="6" spans="1:11" ht="28.2" x14ac:dyDescent="0.5">
      <c r="A6" s="14"/>
      <c r="B6" s="14"/>
      <c r="C6" s="14"/>
      <c r="D6" s="14"/>
      <c r="E6" s="14"/>
      <c r="F6" s="14"/>
    </row>
    <row r="12" spans="1:11" ht="21.3" x14ac:dyDescent="0.4">
      <c r="K12" s="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B44EA9-84B1-4661-AA31-FF50CBD5CB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Pivot_Tables</vt:lpstr>
      <vt:lpstr>Dashboard</vt:lpstr>
      <vt:lpstr>KPI</vt:lpstr>
      <vt:lpstr>Business_Insights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Varunkumar V</dc:creator>
  <cp:lastModifiedBy>Varunkumar V</cp:lastModifiedBy>
  <dcterms:created xsi:type="dcterms:W3CDTF">2026-07-26T13:35:20Z</dcterms:created>
  <dcterms:modified xsi:type="dcterms:W3CDTF">2026-07-27T17:16:15Z</dcterms:modified>
</cp:coreProperties>
</file>