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308fcf3fd5fa84/Documents/DATA ANALYST JOURNEY/"/>
    </mc:Choice>
  </mc:AlternateContent>
  <xr:revisionPtr revIDLastSave="97" documentId="8_{97EB2C32-F60C-43A1-82EF-07F1A6FB4C1D}" xr6:coauthVersionLast="47" xr6:coauthVersionMax="47" xr10:uidLastSave="{86BB0C65-8498-4092-9423-058F43DC2166}"/>
  <bookViews>
    <workbookView xWindow="-113" yWindow="-113" windowWidth="24267" windowHeight="13023" xr2:uid="{552C5CF9-744E-42B1-A508-B9860FF8C89B}"/>
  </bookViews>
  <sheets>
    <sheet name="Basic Fun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M2" i="1" s="1"/>
  <c r="N3" i="1"/>
  <c r="J2" i="1"/>
  <c r="N4" i="1"/>
  <c r="N2" i="1"/>
  <c r="M8" i="1"/>
  <c r="M3" i="1"/>
  <c r="M4" i="1"/>
  <c r="L4" i="1"/>
  <c r="L3" i="1"/>
  <c r="L2" i="1"/>
  <c r="K4" i="1"/>
  <c r="K3" i="1"/>
  <c r="K2" i="1"/>
  <c r="J4" i="1"/>
  <c r="J3" i="1"/>
  <c r="I4" i="1"/>
  <c r="I3" i="1"/>
</calcChain>
</file>

<file path=xl/sharedStrings.xml><?xml version="1.0" encoding="utf-8"?>
<sst xmlns="http://schemas.openxmlformats.org/spreadsheetml/2006/main" count="17" uniqueCount="17">
  <si>
    <t>S.No</t>
  </si>
  <si>
    <t>Student name</t>
  </si>
  <si>
    <t>Sub 1</t>
  </si>
  <si>
    <t>Sub 2</t>
  </si>
  <si>
    <t>Sub 3</t>
  </si>
  <si>
    <t>Sub 4</t>
  </si>
  <si>
    <t>Sub 5</t>
  </si>
  <si>
    <t>Varun</t>
  </si>
  <si>
    <t>Surendhar</t>
  </si>
  <si>
    <t>Rekish</t>
  </si>
  <si>
    <t>Total</t>
  </si>
  <si>
    <t>Avg</t>
  </si>
  <si>
    <t>Percentage</t>
  </si>
  <si>
    <t>Grade</t>
  </si>
  <si>
    <t>Result</t>
  </si>
  <si>
    <t>Rank</t>
  </si>
  <si>
    <t>Reg.no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</si>
</sst>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F8F8C7-C362-473A-A8CC-69AB01E46E2F}" name="Table1" displayName="Table1" ref="A1:N5" totalsRowShown="0" headerRowDxfId="14" dataDxfId="13">
  <autoFilter ref="A1:N5" xr:uid="{50F8F8C7-C362-473A-A8CC-69AB01E46E2F}"/>
  <tableColumns count="14">
    <tableColumn id="1" xr3:uid="{ABF99594-6D4B-48BB-86E0-64998A09CC07}" name="S.No" dataDxfId="12"/>
    <tableColumn id="2" xr3:uid="{70C9C482-DB4A-4DF4-9A0E-D354ACA7DB1E}" name="Student name" dataDxfId="11"/>
    <tableColumn id="3" xr3:uid="{FB23424F-715B-4A84-B58A-01700C1E707F}" name="Reg.no" dataDxfId="10"/>
    <tableColumn id="4" xr3:uid="{9E6C7BBB-E42A-48E3-AB6C-6843E6AB1B36}" name="Sub 1" dataDxfId="9"/>
    <tableColumn id="5" xr3:uid="{E47D026A-AD6B-4E4A-9C77-8513FAA0A896}" name="Sub 2" dataDxfId="8"/>
    <tableColumn id="6" xr3:uid="{716A5178-0EA1-4C8C-8D2E-86E00FDB92C4}" name="Sub 3" dataDxfId="7"/>
    <tableColumn id="7" xr3:uid="{87B3E312-CC49-4B95-BFC7-608540CD0AF0}" name="Sub 4" dataDxfId="6"/>
    <tableColumn id="8" xr3:uid="{3208D813-ADF9-45D8-8A43-5BE79C7435E7}" name="Sub 5" dataDxfId="5"/>
    <tableColumn id="9" xr3:uid="{C2F354A2-90B2-46D5-8D15-64D75D170CE7}" name="Total"/>
    <tableColumn id="10" xr3:uid="{EAC35B97-8EC3-49B6-9228-33FA374A7930}" name="Avg" dataDxfId="4"/>
    <tableColumn id="11" xr3:uid="{39C47A8A-7258-4352-9F63-F5839680DF74}" name="Percentage" dataDxfId="3"/>
    <tableColumn id="12" xr3:uid="{0420C2A7-821B-4DB6-8E1D-5629B470B98F}" name="Grade" dataDxfId="2"/>
    <tableColumn id="13" xr3:uid="{9D0B108B-233C-46BA-8948-3F31D47BE9D7}" name="Rank" dataDxfId="1"/>
    <tableColumn id="14" xr3:uid="{950DDDD3-ADB8-46AD-A17B-885EF98F2AE7}" name="Result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D9C99-38C5-40D5-91C8-E9E3DE5AFEE9}">
  <dimension ref="A1:N10"/>
  <sheetViews>
    <sheetView tabSelected="1" zoomScaleNormal="100" zoomScalePageLayoutView="71" workbookViewId="0">
      <selection activeCell="E11" sqref="E11"/>
    </sheetView>
  </sheetViews>
  <sheetFormatPr defaultRowHeight="15.05" x14ac:dyDescent="0.3"/>
  <cols>
    <col min="1" max="1" width="8.88671875" style="2"/>
    <col min="2" max="2" width="14.6640625" style="2" customWidth="1"/>
    <col min="3" max="10" width="8.88671875" style="2"/>
    <col min="11" max="11" width="12.21875" style="2" customWidth="1"/>
    <col min="12" max="16384" width="8.88671875" style="2"/>
  </cols>
  <sheetData>
    <row r="1" spans="1:14" x14ac:dyDescent="0.3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  <c r="N1" s="1" t="s">
        <v>14</v>
      </c>
    </row>
    <row r="2" spans="1:14" x14ac:dyDescent="0.3">
      <c r="A2" s="2">
        <v>1</v>
      </c>
      <c r="B2" s="2" t="s">
        <v>7</v>
      </c>
      <c r="C2" s="2">
        <v>169</v>
      </c>
      <c r="D2" s="2">
        <v>90</v>
      </c>
      <c r="E2" s="2">
        <v>90</v>
      </c>
      <c r="F2" s="2">
        <v>85</v>
      </c>
      <c r="G2" s="2">
        <v>100</v>
      </c>
      <c r="H2" s="2">
        <v>89</v>
      </c>
      <c r="I2" s="5">
        <f>SUM(D2:H2)</f>
        <v>454</v>
      </c>
      <c r="J2" s="2">
        <f>AVERAGE(D2:H2)</f>
        <v>90.8</v>
      </c>
      <c r="K2" s="2">
        <f>(454/500)*100</f>
        <v>90.8</v>
      </c>
      <c r="L2" s="2" t="str">
        <f>IF(K2&gt;=90,"A+",IF(K2&gt;=80,"A",IF(K2&gt;=70, "B")))</f>
        <v>A+</v>
      </c>
      <c r="M2" s="2">
        <f>RANK(I2,$I$2:$I$4,0)</f>
        <v>1</v>
      </c>
      <c r="N2" s="2" t="str">
        <f>IF(K2&gt;=40,"Pass","Fail")</f>
        <v>Pass</v>
      </c>
    </row>
    <row r="3" spans="1:14" x14ac:dyDescent="0.3">
      <c r="A3" s="2">
        <v>2</v>
      </c>
      <c r="B3" s="2" t="s">
        <v>8</v>
      </c>
      <c r="C3" s="2">
        <v>161</v>
      </c>
      <c r="D3" s="2">
        <v>67</v>
      </c>
      <c r="E3" s="2">
        <v>89</v>
      </c>
      <c r="F3" s="2">
        <v>59</v>
      </c>
      <c r="G3" s="2">
        <v>90</v>
      </c>
      <c r="H3" s="2">
        <v>78</v>
      </c>
      <c r="I3" s="4">
        <f>SUM(D3:H3)</f>
        <v>383</v>
      </c>
      <c r="J3" s="2">
        <f>AVERAGE(D3:H3)</f>
        <v>76.599999999999994</v>
      </c>
      <c r="K3" s="2">
        <f>(383/500)*100</f>
        <v>76.599999999999994</v>
      </c>
      <c r="L3" s="2" t="str">
        <f>IF(K3&gt;=90,"A+",IF(K3&gt;=80,"A",IF(K3&gt;=70, "B")))</f>
        <v>B</v>
      </c>
      <c r="M3" s="2">
        <f>RANK(I3,$I$2:$I$4,0)</f>
        <v>3</v>
      </c>
      <c r="N3" s="2" t="str">
        <f>IF(K3&gt;=40,"Pass","Fail")</f>
        <v>Pass</v>
      </c>
    </row>
    <row r="4" spans="1:14" x14ac:dyDescent="0.3">
      <c r="A4" s="2">
        <v>3</v>
      </c>
      <c r="B4" s="2" t="s">
        <v>9</v>
      </c>
      <c r="C4" s="2">
        <v>127</v>
      </c>
      <c r="D4" s="2">
        <v>90</v>
      </c>
      <c r="E4" s="2">
        <v>90</v>
      </c>
      <c r="F4" s="2">
        <v>100</v>
      </c>
      <c r="G4" s="2">
        <v>65</v>
      </c>
      <c r="H4" s="2">
        <v>79</v>
      </c>
      <c r="I4" s="2">
        <f>SUM(D4:H4)</f>
        <v>424</v>
      </c>
      <c r="J4" s="2">
        <f>AVERAGE(D4:H4)</f>
        <v>84.8</v>
      </c>
      <c r="K4" s="2">
        <f>(424/500)*100</f>
        <v>84.8</v>
      </c>
      <c r="L4" s="2" t="str">
        <f>IF(K4&gt;=90,"A+",IF(K4&gt;=80,"A",IF(K4&gt;=70, "B")))</f>
        <v>A</v>
      </c>
      <c r="M4" s="2">
        <f>RANK(I4,$I$2:$I$4,0)</f>
        <v>2</v>
      </c>
      <c r="N4" s="2" t="str">
        <f>IF(K3&gt;=40,"Pass","Fail")</f>
        <v>Pass</v>
      </c>
    </row>
    <row r="8" spans="1:14" x14ac:dyDescent="0.3">
      <c r="M8" s="2">
        <f>RANK(I2,$I$2:$I$4,0)</f>
        <v>1</v>
      </c>
    </row>
    <row r="10" spans="1:14" x14ac:dyDescent="0.3">
      <c r="H10" s="3"/>
    </row>
  </sheetData>
  <conditionalFormatting sqref="D2:H4">
    <cfRule type="colorScale" priority="1">
      <colorScale>
        <cfvo type="min"/>
        <cfvo type="max"/>
        <color rgb="FF92D050"/>
        <color rgb="FF00B050"/>
      </colorScale>
    </cfRule>
  </conditionalFormatting>
  <conditionalFormatting sqref="D2:H5">
    <cfRule type="colorScale" priority="2">
      <colorScale>
        <cfvo type="min"/>
        <cfvo type="max"/>
        <color rgb="FF00B050"/>
        <color rgb="FFFFFF00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Varunkumar V</dc:creator>
  <cp:lastModifiedBy>Varunkumar V</cp:lastModifiedBy>
  <dcterms:created xsi:type="dcterms:W3CDTF">2026-07-08T12:52:59Z</dcterms:created>
  <dcterms:modified xsi:type="dcterms:W3CDTF">2026-07-15T09:54:03Z</dcterms:modified>
</cp:coreProperties>
</file>