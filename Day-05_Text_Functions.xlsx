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308FCF3FD5FA84/Documents/DATA ANALYST JOURNEY/"/>
    </mc:Choice>
  </mc:AlternateContent>
  <xr:revisionPtr revIDLastSave="384" documentId="8_{51A540D8-D4E0-4E76-BB05-92334CCF05E7}" xr6:coauthVersionLast="47" xr6:coauthVersionMax="47" xr10:uidLastSave="{DC03EF42-DA92-4E4E-8E92-A94B1DFB1E90}"/>
  <bookViews>
    <workbookView xWindow="-113" yWindow="-113" windowWidth="24267" windowHeight="13023" xr2:uid="{5CF4836D-4991-4EFD-BDE9-A265D6572409}"/>
  </bookViews>
  <sheets>
    <sheet name="Text Functions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6" i="7" l="1"/>
  <c r="T15" i="7"/>
  <c r="T14" i="7"/>
  <c r="T7" i="7"/>
  <c r="T6" i="7"/>
  <c r="T5" i="7"/>
  <c r="Q23" i="7"/>
  <c r="Q22" i="7"/>
  <c r="Q21" i="7"/>
  <c r="N23" i="7"/>
  <c r="N22" i="7"/>
  <c r="N21" i="7"/>
  <c r="Q16" i="7"/>
  <c r="Q15" i="7"/>
  <c r="Q14" i="7"/>
  <c r="Q7" i="7"/>
  <c r="Q6" i="7"/>
  <c r="Q5" i="7"/>
  <c r="N16" i="7"/>
  <c r="N15" i="7"/>
  <c r="N14" i="7"/>
  <c r="N7" i="7"/>
  <c r="N6" i="7"/>
  <c r="N5" i="7"/>
  <c r="K19" i="7"/>
  <c r="K18" i="7"/>
  <c r="K17" i="7"/>
  <c r="K16" i="7"/>
  <c r="K15" i="7"/>
  <c r="K14" i="7"/>
  <c r="K10" i="7"/>
  <c r="K9" i="7"/>
  <c r="K8" i="7"/>
  <c r="K7" i="7"/>
  <c r="K6" i="7"/>
  <c r="K5" i="7"/>
  <c r="H10" i="7"/>
  <c r="H9" i="7"/>
  <c r="H8" i="7"/>
  <c r="H7" i="7"/>
  <c r="H6" i="7"/>
  <c r="H5" i="7"/>
  <c r="E19" i="7"/>
  <c r="E18" i="7"/>
  <c r="E17" i="7"/>
  <c r="E16" i="7"/>
  <c r="E15" i="7"/>
  <c r="H19" i="7"/>
  <c r="H18" i="7"/>
  <c r="H17" i="7"/>
  <c r="H16" i="7"/>
  <c r="H15" i="7"/>
  <c r="H14" i="7"/>
  <c r="E14" i="7"/>
  <c r="E10" i="7"/>
  <c r="E9" i="7"/>
  <c r="E8" i="7"/>
  <c r="E7" i="7"/>
  <c r="E6" i="7"/>
  <c r="E5" i="7"/>
  <c r="B19" i="7"/>
  <c r="B18" i="7"/>
  <c r="B17" i="7"/>
  <c r="B16" i="7"/>
  <c r="B15" i="7"/>
  <c r="B14" i="7"/>
  <c r="B10" i="7"/>
  <c r="B9" i="7"/>
  <c r="B8" i="7"/>
  <c r="B7" i="7"/>
  <c r="B6" i="7"/>
  <c r="B5" i="7"/>
</calcChain>
</file>

<file path=xl/sharedStrings.xml><?xml version="1.0" encoding="utf-8"?>
<sst xmlns="http://schemas.openxmlformats.org/spreadsheetml/2006/main" count="69" uniqueCount="39">
  <si>
    <t>Varun</t>
  </si>
  <si>
    <t>Ajay</t>
  </si>
  <si>
    <t>Sarath</t>
  </si>
  <si>
    <t>Seeman</t>
  </si>
  <si>
    <t>Dhanusha</t>
  </si>
  <si>
    <t>Shoban</t>
  </si>
  <si>
    <t>DAY 05-TEXT FUNCTIONS</t>
  </si>
  <si>
    <t>Proper()</t>
  </si>
  <si>
    <t>UPPER()</t>
  </si>
  <si>
    <t>VaRun</t>
  </si>
  <si>
    <t>seeMan</t>
  </si>
  <si>
    <t>dhAnushA</t>
  </si>
  <si>
    <t>saRath</t>
  </si>
  <si>
    <t>ajAy</t>
  </si>
  <si>
    <t>sHOban</t>
  </si>
  <si>
    <t>lowercase()</t>
  </si>
  <si>
    <t>LEFT()</t>
  </si>
  <si>
    <t>RIGHT()</t>
  </si>
  <si>
    <t>MID()</t>
  </si>
  <si>
    <t>LEN()</t>
  </si>
  <si>
    <t>TRIM()</t>
  </si>
  <si>
    <t>A jay</t>
  </si>
  <si>
    <t>Varun      kumar</t>
  </si>
  <si>
    <t>Seema       raja</t>
  </si>
  <si>
    <t>Dhanusha              shree</t>
  </si>
  <si>
    <t>Sarath      kannan</t>
  </si>
  <si>
    <t xml:space="preserve">Shoban         babu   </t>
  </si>
  <si>
    <t>CONCAT()</t>
  </si>
  <si>
    <t>TEXTJOIN()</t>
  </si>
  <si>
    <t>FIND()</t>
  </si>
  <si>
    <t>SEARCH()</t>
  </si>
  <si>
    <t>SUBSTITUTE()</t>
  </si>
  <si>
    <t>REPLACE()</t>
  </si>
  <si>
    <t>TEXT()</t>
  </si>
  <si>
    <t>VALUE()</t>
  </si>
  <si>
    <t>12</t>
  </si>
  <si>
    <t>1000</t>
  </si>
  <si>
    <t>9090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</si>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</sst>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5" fillId="0" borderId="0" xfId="0" applyFont="1"/>
    <xf numFmtId="0" fontId="2" fillId="0" borderId="0" xfId="0" applyFont="1"/>
    <xf numFmtId="14" fontId="0" fillId="0" borderId="0" xfId="0" applyNumberFormat="1"/>
    <xf numFmtId="0" fontId="0" fillId="0" borderId="0" xfId="0" quotePrefix="1"/>
    <xf numFmtId="15" fontId="0" fillId="0" borderId="0" xfId="0" quotePrefix="1" applyNumberFormat="1"/>
    <xf numFmtId="0" fontId="6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ADEFE-8B46-4277-B933-0E95119CE9A3}">
  <dimension ref="A1:T23"/>
  <sheetViews>
    <sheetView tabSelected="1" workbookViewId="0">
      <selection activeCell="F12" sqref="F12"/>
    </sheetView>
  </sheetViews>
  <sheetFormatPr defaultRowHeight="15.05" x14ac:dyDescent="0.3"/>
  <cols>
    <col min="1" max="1" width="24.21875" customWidth="1"/>
    <col min="2" max="2" width="24.5546875" customWidth="1"/>
    <col min="3" max="3" width="12" bestFit="1" customWidth="1"/>
    <col min="4" max="4" width="18.88671875" customWidth="1"/>
    <col min="5" max="5" width="21.21875" customWidth="1"/>
    <col min="7" max="7" width="17.77734375" customWidth="1"/>
    <col min="8" max="8" width="18.21875" customWidth="1"/>
    <col min="10" max="10" width="19.88671875" bestFit="1" customWidth="1"/>
    <col min="11" max="11" width="12.6640625" customWidth="1"/>
    <col min="13" max="13" width="17.6640625" customWidth="1"/>
    <col min="14" max="14" width="17.77734375" customWidth="1"/>
    <col min="16" max="16" width="17.5546875" customWidth="1"/>
    <col min="17" max="17" width="16.5546875" customWidth="1"/>
    <col min="19" max="19" width="10.33203125" bestFit="1" customWidth="1"/>
    <col min="20" max="20" width="11.6640625" bestFit="1" customWidth="1"/>
  </cols>
  <sheetData>
    <row r="1" spans="1:20" ht="23.8" x14ac:dyDescent="0.45">
      <c r="A1" s="8" t="s">
        <v>6</v>
      </c>
      <c r="B1" s="9"/>
      <c r="C1" s="9"/>
      <c r="D1" s="9"/>
      <c r="E1" s="9"/>
      <c r="F1" s="9"/>
      <c r="G1" s="9"/>
      <c r="H1" s="9"/>
      <c r="I1" s="9"/>
      <c r="J1" s="9"/>
    </row>
    <row r="3" spans="1:20" ht="21.3" x14ac:dyDescent="0.4">
      <c r="A3" s="7" t="s">
        <v>8</v>
      </c>
      <c r="B3" s="7"/>
      <c r="C3" s="1"/>
      <c r="D3" s="7" t="s">
        <v>7</v>
      </c>
      <c r="E3" s="7"/>
      <c r="G3" s="7" t="s">
        <v>17</v>
      </c>
      <c r="H3" s="7"/>
      <c r="J3" s="7" t="s">
        <v>19</v>
      </c>
      <c r="K3" s="7"/>
      <c r="M3" s="7" t="s">
        <v>27</v>
      </c>
      <c r="N3" s="7"/>
      <c r="P3" s="7" t="s">
        <v>29</v>
      </c>
      <c r="Q3" s="7"/>
      <c r="S3" s="7" t="s">
        <v>33</v>
      </c>
      <c r="T3" s="7"/>
    </row>
    <row r="4" spans="1:20" ht="18.2" x14ac:dyDescent="0.35">
      <c r="A4" s="2"/>
    </row>
    <row r="5" spans="1:20" ht="15.65" x14ac:dyDescent="0.3">
      <c r="A5" s="3" t="s">
        <v>9</v>
      </c>
      <c r="B5" t="str">
        <f t="shared" ref="B5:B10" si="0">UPPER(A5)</f>
        <v>VARUN</v>
      </c>
      <c r="D5" s="3" t="s">
        <v>9</v>
      </c>
      <c r="E5" t="str">
        <f>PROPER(D5)</f>
        <v>Varun</v>
      </c>
      <c r="G5" t="s">
        <v>0</v>
      </c>
      <c r="H5" t="str">
        <f t="shared" ref="H5:H10" si="1">RIGHT(G5,3)</f>
        <v>run</v>
      </c>
      <c r="J5" t="s">
        <v>0</v>
      </c>
      <c r="K5">
        <f t="shared" ref="K5:K10" si="2">LEN(J5)</f>
        <v>5</v>
      </c>
      <c r="M5">
        <v>1</v>
      </c>
      <c r="N5" t="str">
        <f>_xlfn.CONCAT(E5," ",E7)</f>
        <v>Varun Dhanusha</v>
      </c>
      <c r="P5">
        <v>1</v>
      </c>
      <c r="Q5">
        <f>FIND("ee",G6)</f>
        <v>2</v>
      </c>
      <c r="S5" s="4">
        <v>38515</v>
      </c>
      <c r="T5" t="str">
        <f>TEXT(S5,"dd-mmm-yyyy")</f>
        <v>12-Jun-2005</v>
      </c>
    </row>
    <row r="6" spans="1:20" ht="15.65" x14ac:dyDescent="0.3">
      <c r="A6" s="3" t="s">
        <v>10</v>
      </c>
      <c r="B6" t="str">
        <f t="shared" si="0"/>
        <v>SEEMAN</v>
      </c>
      <c r="D6" s="3" t="s">
        <v>10</v>
      </c>
      <c r="E6" t="str">
        <f>PROPER(A6)</f>
        <v>Seeman</v>
      </c>
      <c r="G6" t="s">
        <v>3</v>
      </c>
      <c r="H6" t="str">
        <f t="shared" si="1"/>
        <v>man</v>
      </c>
      <c r="J6" t="s">
        <v>3</v>
      </c>
      <c r="K6">
        <f t="shared" si="2"/>
        <v>6</v>
      </c>
      <c r="M6">
        <v>2</v>
      </c>
      <c r="N6" t="str">
        <f>_xlfn.CONCAT(E6,"  ",E8)</f>
        <v>Seeman  Sarath</v>
      </c>
      <c r="P6">
        <v>2</v>
      </c>
      <c r="Q6">
        <f>FIND("y",G9)</f>
        <v>4</v>
      </c>
      <c r="S6" s="4">
        <v>40001</v>
      </c>
      <c r="T6" t="str">
        <f>TEXT(S6,"dd-mmm-yyyy")</f>
        <v>07-Jul-2009</v>
      </c>
    </row>
    <row r="7" spans="1:20" x14ac:dyDescent="0.3">
      <c r="A7" t="s">
        <v>11</v>
      </c>
      <c r="B7" t="str">
        <f t="shared" si="0"/>
        <v>DHANUSHA</v>
      </c>
      <c r="D7" t="s">
        <v>11</v>
      </c>
      <c r="E7" t="str">
        <f>PROPER(A7)</f>
        <v>Dhanusha</v>
      </c>
      <c r="G7" t="s">
        <v>4</v>
      </c>
      <c r="H7" t="str">
        <f t="shared" si="1"/>
        <v>sha</v>
      </c>
      <c r="J7" t="s">
        <v>4</v>
      </c>
      <c r="K7">
        <f t="shared" si="2"/>
        <v>8</v>
      </c>
      <c r="M7">
        <v>3</v>
      </c>
      <c r="N7" t="str">
        <f>_xlfn.CONCAT(E10," ",E9)</f>
        <v>Shoban Ajay</v>
      </c>
      <c r="P7">
        <v>3</v>
      </c>
      <c r="Q7">
        <f>FIND("-",N15)</f>
        <v>6</v>
      </c>
      <c r="S7" s="4">
        <v>38779</v>
      </c>
      <c r="T7" t="str">
        <f>TEXT(S7,"dd-mmm-yyyy")</f>
        <v>03-Mar-2006</v>
      </c>
    </row>
    <row r="8" spans="1:20" x14ac:dyDescent="0.3">
      <c r="A8" t="s">
        <v>12</v>
      </c>
      <c r="B8" t="str">
        <f t="shared" si="0"/>
        <v>SARATH</v>
      </c>
      <c r="D8" t="s">
        <v>12</v>
      </c>
      <c r="E8" t="str">
        <f>PROPER(A8)</f>
        <v>Sarath</v>
      </c>
      <c r="G8" t="s">
        <v>2</v>
      </c>
      <c r="H8" t="str">
        <f t="shared" si="1"/>
        <v>ath</v>
      </c>
      <c r="J8" t="s">
        <v>2</v>
      </c>
      <c r="K8">
        <f t="shared" si="2"/>
        <v>6</v>
      </c>
    </row>
    <row r="9" spans="1:20" x14ac:dyDescent="0.3">
      <c r="A9" t="s">
        <v>13</v>
      </c>
      <c r="B9" t="str">
        <f t="shared" si="0"/>
        <v>AJAY</v>
      </c>
      <c r="D9" t="s">
        <v>13</v>
      </c>
      <c r="E9" t="str">
        <f>PROPER(A9)</f>
        <v>Ajay</v>
      </c>
      <c r="G9" t="s">
        <v>1</v>
      </c>
      <c r="H9" t="str">
        <f t="shared" si="1"/>
        <v>jay</v>
      </c>
      <c r="J9" t="s">
        <v>1</v>
      </c>
      <c r="K9">
        <f t="shared" si="2"/>
        <v>4</v>
      </c>
    </row>
    <row r="10" spans="1:20" x14ac:dyDescent="0.3">
      <c r="A10" t="s">
        <v>14</v>
      </c>
      <c r="B10" t="str">
        <f t="shared" si="0"/>
        <v>SHOBAN</v>
      </c>
      <c r="D10" t="s">
        <v>14</v>
      </c>
      <c r="E10" t="str">
        <f>PROPER(A10)</f>
        <v>Shoban</v>
      </c>
      <c r="G10" t="s">
        <v>5</v>
      </c>
      <c r="H10" t="str">
        <f t="shared" si="1"/>
        <v>ban</v>
      </c>
      <c r="J10" t="s">
        <v>5</v>
      </c>
      <c r="K10">
        <f t="shared" si="2"/>
        <v>6</v>
      </c>
    </row>
    <row r="12" spans="1:20" ht="21.3" x14ac:dyDescent="0.4">
      <c r="A12" s="7" t="s">
        <v>15</v>
      </c>
      <c r="B12" s="7"/>
      <c r="D12" s="7" t="s">
        <v>16</v>
      </c>
      <c r="E12" s="7"/>
      <c r="G12" s="7" t="s">
        <v>18</v>
      </c>
      <c r="H12" s="7"/>
      <c r="J12" s="7" t="s">
        <v>20</v>
      </c>
      <c r="K12" s="7"/>
      <c r="M12" s="7" t="s">
        <v>28</v>
      </c>
      <c r="N12" s="7"/>
      <c r="P12" s="7" t="s">
        <v>30</v>
      </c>
      <c r="Q12" s="7"/>
      <c r="S12" s="7" t="s">
        <v>34</v>
      </c>
      <c r="T12" s="7"/>
    </row>
    <row r="14" spans="1:20" ht="15.65" x14ac:dyDescent="0.3">
      <c r="A14" s="3" t="s">
        <v>9</v>
      </c>
      <c r="B14" t="str">
        <f t="shared" ref="B14:B19" si="3">LOWER(A14)</f>
        <v>varun</v>
      </c>
      <c r="D14" t="s">
        <v>0</v>
      </c>
      <c r="E14" t="str">
        <f t="shared" ref="E14:E19" si="4">LEFT(D14,3)</f>
        <v>Var</v>
      </c>
      <c r="G14" t="s">
        <v>0</v>
      </c>
      <c r="H14" t="str">
        <f>MID(G14,2,4)</f>
        <v>arun</v>
      </c>
      <c r="J14" t="s">
        <v>22</v>
      </c>
      <c r="K14" t="str">
        <f t="shared" ref="K14:K19" si="5">TRIM(J14)</f>
        <v>Varun kumar</v>
      </c>
      <c r="M14">
        <v>1</v>
      </c>
      <c r="N14" t="str">
        <f>_xlfn.TEXTJOIN("-",TRUE,H6,H17)</f>
        <v>man-ara</v>
      </c>
      <c r="P14">
        <v>1</v>
      </c>
      <c r="Q14">
        <f>SEARCH("un",G5)</f>
        <v>4</v>
      </c>
      <c r="S14" s="5" t="s">
        <v>35</v>
      </c>
      <c r="T14">
        <f>VALUE(S14)</f>
        <v>12</v>
      </c>
    </row>
    <row r="15" spans="1:20" ht="15.65" x14ac:dyDescent="0.3">
      <c r="A15" s="3" t="s">
        <v>10</v>
      </c>
      <c r="B15" t="str">
        <f t="shared" si="3"/>
        <v>seeman</v>
      </c>
      <c r="D15" t="s">
        <v>3</v>
      </c>
      <c r="E15" t="str">
        <f t="shared" si="4"/>
        <v>See</v>
      </c>
      <c r="G15" t="s">
        <v>3</v>
      </c>
      <c r="H15" t="str">
        <f>MID(G15,3,4)</f>
        <v>eman</v>
      </c>
      <c r="J15" t="s">
        <v>23</v>
      </c>
      <c r="K15" t="str">
        <f t="shared" si="5"/>
        <v>Seema raja</v>
      </c>
      <c r="M15">
        <v>2</v>
      </c>
      <c r="N15" t="str">
        <f>_xlfn.TEXTJOIN("-",TRUE,J5,K5)</f>
        <v>Varun-5</v>
      </c>
      <c r="P15">
        <v>2</v>
      </c>
      <c r="Q15">
        <f>SEARCH("jay",N16)</f>
        <v>1</v>
      </c>
      <c r="S15" s="5" t="s">
        <v>36</v>
      </c>
      <c r="T15">
        <f>VALUE(S15)</f>
        <v>1000</v>
      </c>
    </row>
    <row r="16" spans="1:20" x14ac:dyDescent="0.3">
      <c r="A16" t="s">
        <v>11</v>
      </c>
      <c r="B16" t="str">
        <f t="shared" si="3"/>
        <v>dhanusha</v>
      </c>
      <c r="D16" t="s">
        <v>4</v>
      </c>
      <c r="E16" t="str">
        <f t="shared" si="4"/>
        <v>Dha</v>
      </c>
      <c r="G16" t="s">
        <v>4</v>
      </c>
      <c r="H16" t="str">
        <f>MID(G16,1,7)</f>
        <v>Dhanush</v>
      </c>
      <c r="J16" t="s">
        <v>24</v>
      </c>
      <c r="K16" t="str">
        <f t="shared" si="5"/>
        <v>Dhanusha shree</v>
      </c>
      <c r="M16">
        <v>3</v>
      </c>
      <c r="N16" t="str">
        <f>_xlfn.TEXTJOIN("-",TRUE,H9,H15)</f>
        <v>jay-eman</v>
      </c>
      <c r="P16">
        <v>3</v>
      </c>
      <c r="Q16">
        <f>SEARCH("shree",K16)</f>
        <v>10</v>
      </c>
      <c r="S16" s="6" t="s">
        <v>37</v>
      </c>
      <c r="T16">
        <f>VALUE(S16)</f>
        <v>9090</v>
      </c>
    </row>
    <row r="17" spans="1:20" x14ac:dyDescent="0.3">
      <c r="A17" t="s">
        <v>12</v>
      </c>
      <c r="B17" t="str">
        <f t="shared" si="3"/>
        <v>sarath</v>
      </c>
      <c r="D17" t="s">
        <v>2</v>
      </c>
      <c r="E17" t="str">
        <f t="shared" si="4"/>
        <v>Sar</v>
      </c>
      <c r="G17" t="s">
        <v>2</v>
      </c>
      <c r="H17" t="str">
        <f>MID(G17,2,3)</f>
        <v>ara</v>
      </c>
      <c r="J17" t="s">
        <v>25</v>
      </c>
      <c r="K17" t="str">
        <f t="shared" si="5"/>
        <v>Sarath kannan</v>
      </c>
    </row>
    <row r="18" spans="1:20" x14ac:dyDescent="0.3">
      <c r="A18" t="s">
        <v>13</v>
      </c>
      <c r="B18" t="str">
        <f t="shared" si="3"/>
        <v>ajay</v>
      </c>
      <c r="D18" t="s">
        <v>1</v>
      </c>
      <c r="E18" t="str">
        <f t="shared" si="4"/>
        <v>Aja</v>
      </c>
      <c r="G18" t="s">
        <v>1</v>
      </c>
      <c r="H18" t="str">
        <f>MID(G18,2,2)</f>
        <v>ja</v>
      </c>
      <c r="J18" t="s">
        <v>21</v>
      </c>
      <c r="K18" t="str">
        <f t="shared" si="5"/>
        <v>A jay</v>
      </c>
      <c r="T18" t="s">
        <v>38</v>
      </c>
    </row>
    <row r="19" spans="1:20" ht="21.3" x14ac:dyDescent="0.4">
      <c r="A19" t="s">
        <v>14</v>
      </c>
      <c r="B19" t="str">
        <f t="shared" si="3"/>
        <v>shoban</v>
      </c>
      <c r="D19" t="s">
        <v>5</v>
      </c>
      <c r="E19" t="str">
        <f t="shared" si="4"/>
        <v>Sho</v>
      </c>
      <c r="G19" t="s">
        <v>5</v>
      </c>
      <c r="H19" t="str">
        <f>MID(G19,4,3)</f>
        <v>ban</v>
      </c>
      <c r="J19" t="s">
        <v>26</v>
      </c>
      <c r="K19" t="str">
        <f t="shared" si="5"/>
        <v>Shoban babu</v>
      </c>
      <c r="M19" s="7" t="s">
        <v>31</v>
      </c>
      <c r="N19" s="7"/>
      <c r="P19" s="7" t="s">
        <v>32</v>
      </c>
      <c r="Q19" s="7"/>
    </row>
    <row r="21" spans="1:20" x14ac:dyDescent="0.3">
      <c r="M21">
        <v>1</v>
      </c>
      <c r="N21" t="str">
        <f>SUBSTITUTE(G14,"V","T")</f>
        <v>Tarun</v>
      </c>
      <c r="P21">
        <v>1</v>
      </c>
      <c r="Q21" t="str">
        <f>REPLACE(J5,2,4,"ajitha")</f>
        <v>Vajitha</v>
      </c>
    </row>
    <row r="22" spans="1:20" x14ac:dyDescent="0.3">
      <c r="M22">
        <v>2</v>
      </c>
      <c r="N22" t="str">
        <f>SUBSTITUTE(G16,"a","")</f>
        <v>Dhnush</v>
      </c>
      <c r="P22">
        <v>2</v>
      </c>
      <c r="Q22" t="str">
        <f>REPLACE(J8,1,5,"haris")</f>
        <v>harish</v>
      </c>
    </row>
    <row r="23" spans="1:20" x14ac:dyDescent="0.3">
      <c r="M23">
        <v>3</v>
      </c>
      <c r="N23" t="str">
        <f>SUBSTITUTE(J9,"A","Vi")</f>
        <v>Vijay</v>
      </c>
      <c r="P23">
        <v>3</v>
      </c>
      <c r="Q23" t="str">
        <f>REPLACE(N5,7,8,"Nithya")</f>
        <v>Varun Nithya</v>
      </c>
    </row>
  </sheetData>
  <mergeCells count="17">
    <mergeCell ref="M19:N19"/>
    <mergeCell ref="P19:Q19"/>
    <mergeCell ref="A1:J1"/>
    <mergeCell ref="A3:B3"/>
    <mergeCell ref="A12:B12"/>
    <mergeCell ref="D3:E3"/>
    <mergeCell ref="D12:E12"/>
    <mergeCell ref="G3:H3"/>
    <mergeCell ref="G12:H12"/>
    <mergeCell ref="J3:K3"/>
    <mergeCell ref="J12:K12"/>
    <mergeCell ref="S3:T3"/>
    <mergeCell ref="S12:T12"/>
    <mergeCell ref="M3:N3"/>
    <mergeCell ref="M12:N12"/>
    <mergeCell ref="P3:Q3"/>
    <mergeCell ref="P12:Q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Varunkumar V</dc:creator>
  <cp:lastModifiedBy>Varunkumar V</cp:lastModifiedBy>
  <dcterms:created xsi:type="dcterms:W3CDTF">2026-07-08T11:52:28Z</dcterms:created>
  <dcterms:modified xsi:type="dcterms:W3CDTF">2026-07-15T10:41:36Z</dcterms:modified>
</cp:coreProperties>
</file>