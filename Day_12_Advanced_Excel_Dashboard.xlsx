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C7308FCF3FD5FA84/Documents/DATA ANALYST JOURNEY/"/>
    </mc:Choice>
  </mc:AlternateContent>
  <xr:revisionPtr revIDLastSave="216" documentId="8_{ACEC7D04-7712-44F6-B2FE-C76B85AC51B9}" xr6:coauthVersionLast="47" xr6:coauthVersionMax="47" xr10:uidLastSave="{A35136B2-7E82-4043-8F22-5FA8C707AC40}"/>
  <bookViews>
    <workbookView minimized="1" xWindow="5297" yWindow="1741" windowWidth="18031" windowHeight="9303" activeTab="1" xr2:uid="{6F6057CA-B2AD-480A-872D-BD28ED716309}"/>
  </bookViews>
  <sheets>
    <sheet name="Sales Data" sheetId="3" r:id="rId1"/>
    <sheet name="Executive Sales Dashboard" sheetId="5" r:id="rId2"/>
  </sheets>
  <definedNames>
    <definedName name="Slicer_Month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5" l="1"/>
  <c r="F9" i="5"/>
  <c r="G8" i="5"/>
  <c r="F8" i="5"/>
  <c r="L7" i="5"/>
  <c r="J7" i="5"/>
  <c r="G7" i="5"/>
  <c r="F7" i="5"/>
  <c r="G6" i="5"/>
  <c r="F6" i="5"/>
  <c r="G5" i="5"/>
  <c r="F5" i="5"/>
  <c r="L4" i="5"/>
  <c r="J4" i="5"/>
  <c r="G4" i="5"/>
  <c r="F4" i="5"/>
  <c r="G9" i="3"/>
  <c r="L7" i="3"/>
  <c r="J7" i="3"/>
  <c r="G4" i="3"/>
  <c r="G5" i="3"/>
  <c r="G6" i="3"/>
  <c r="G7" i="3"/>
  <c r="G8" i="3"/>
  <c r="J4" i="3"/>
  <c r="L4" i="3"/>
  <c r="F4" i="3"/>
  <c r="F5" i="3"/>
  <c r="F6" i="3"/>
  <c r="F7" i="3"/>
  <c r="F8" i="3"/>
  <c r="F9" i="3"/>
</calcChain>
</file>

<file path=xl/sharedStrings.xml><?xml version="1.0" encoding="utf-8"?>
<sst xmlns="http://schemas.openxmlformats.org/spreadsheetml/2006/main" count="38" uniqueCount="20">
  <si>
    <t>DAY 12 - ADVANCED EXCEL DASHBOARD</t>
  </si>
  <si>
    <t>Month</t>
  </si>
  <si>
    <t>Sales</t>
  </si>
  <si>
    <t>Target</t>
  </si>
  <si>
    <t>Profit</t>
  </si>
  <si>
    <t>Orders</t>
  </si>
  <si>
    <t>Jan</t>
  </si>
  <si>
    <t>Feb</t>
  </si>
  <si>
    <t>Mar</t>
  </si>
  <si>
    <t>Apr</t>
  </si>
  <si>
    <t>May</t>
  </si>
  <si>
    <t>Jun</t>
  </si>
  <si>
    <t>Total Sales</t>
  </si>
  <si>
    <t>Total Target</t>
  </si>
  <si>
    <t>Total Profit</t>
  </si>
  <si>
    <t>Total Orders</t>
  </si>
  <si>
    <t>Variance</t>
  </si>
  <si>
    <t>Achievements</t>
  </si>
  <si>
    <t>Trends</t>
  </si>
  <si>
    <t>DAY 12 - ADVANCED EXCEL DASHBOARD : MINI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</si>
</sst>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scheme val="minor"/>
    </font>
    <font>
      <b/>
      <sz val="22"/>
      <color theme="1"/>
      <name val="Calibri"/>
      <family val="2"/>
      <scheme val="minor"/>
    </font>
    <font>
      <b/>
      <sz val="22"/>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2" borderId="0" xfId="0" applyFont="1" applyFill="1" applyAlignment="1">
      <alignment horizontal="center"/>
    </xf>
    <xf numFmtId="0" fontId="3" fillId="0" borderId="0" xfId="0" applyFont="1" applyAlignment="1">
      <alignment horizontal="center"/>
    </xf>
    <xf numFmtId="0" fontId="4" fillId="3" borderId="0" xfId="0" applyFont="1" applyFill="1" applyAlignment="1">
      <alignment horizontal="center"/>
    </xf>
    <xf numFmtId="9" fontId="0" fillId="0" borderId="0" xfId="1" applyFont="1" applyAlignment="1">
      <alignment horizontal="center" vertical="center" wrapText="1"/>
    </xf>
  </cellXfs>
  <cellStyles count="2">
    <cellStyle name="Normal" xfId="0" builtinId="0"/>
    <cellStyle name="Percent" xfId="1" builtinId="5"/>
  </cellStyles>
  <dxfs count="20">
    <dxf>
      <alignment horizontal="general"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Target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val>
            <c:numRef>
              <c:f>'Executive Sales Dashboard'!$B$4:$B$9</c:f>
              <c:numCache>
                <c:formatCode>General</c:formatCode>
                <c:ptCount val="6"/>
                <c:pt idx="0">
                  <c:v>95000</c:v>
                </c:pt>
                <c:pt idx="1">
                  <c:v>110000</c:v>
                </c:pt>
                <c:pt idx="2">
                  <c:v>98000</c:v>
                </c:pt>
                <c:pt idx="3">
                  <c:v>125000</c:v>
                </c:pt>
                <c:pt idx="4">
                  <c:v>118000</c:v>
                </c:pt>
                <c:pt idx="5">
                  <c:v>140000</c:v>
                </c:pt>
              </c:numCache>
            </c:numRef>
          </c:val>
          <c:extLst>
            <c:ext xmlns:c16="http://schemas.microsoft.com/office/drawing/2014/chart" uri="{C3380CC4-5D6E-409C-BE32-E72D297353CC}">
              <c16:uniqueId val="{00000000-C2B5-48D0-98E0-55D2E4E0ABAC}"/>
            </c:ext>
          </c:extLst>
        </c:ser>
        <c:ser>
          <c:idx val="1"/>
          <c:order val="1"/>
          <c:spPr>
            <a:solidFill>
              <a:schemeClr val="accent2"/>
            </a:solidFill>
            <a:ln>
              <a:noFill/>
            </a:ln>
            <a:effectLst/>
          </c:spPr>
          <c:invertIfNegative val="0"/>
          <c:val>
            <c:numRef>
              <c:f>'Executive Sales Dashboard'!$C$4:$C$9</c:f>
              <c:numCache>
                <c:formatCode>General</c:formatCode>
                <c:ptCount val="6"/>
                <c:pt idx="0">
                  <c:v>100000</c:v>
                </c:pt>
                <c:pt idx="1">
                  <c:v>105000</c:v>
                </c:pt>
                <c:pt idx="2">
                  <c:v>110000</c:v>
                </c:pt>
                <c:pt idx="3">
                  <c:v>120000</c:v>
                </c:pt>
                <c:pt idx="4">
                  <c:v>125000</c:v>
                </c:pt>
                <c:pt idx="5">
                  <c:v>135000</c:v>
                </c:pt>
              </c:numCache>
            </c:numRef>
          </c:val>
          <c:extLst>
            <c:ext xmlns:c16="http://schemas.microsoft.com/office/drawing/2014/chart" uri="{C3380CC4-5D6E-409C-BE32-E72D297353CC}">
              <c16:uniqueId val="{00000001-C2B5-48D0-98E0-55D2E4E0ABAC}"/>
            </c:ext>
          </c:extLst>
        </c:ser>
        <c:dLbls>
          <c:showLegendKey val="0"/>
          <c:showVal val="0"/>
          <c:showCatName val="0"/>
          <c:showSerName val="0"/>
          <c:showPercent val="0"/>
          <c:showBubbleSize val="0"/>
        </c:dLbls>
        <c:gapWidth val="219"/>
        <c:overlap val="-27"/>
        <c:axId val="705270832"/>
        <c:axId val="705273712"/>
      </c:barChart>
      <c:catAx>
        <c:axId val="7052708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273712"/>
        <c:crosses val="autoZero"/>
        <c:auto val="1"/>
        <c:lblAlgn val="ctr"/>
        <c:lblOffset val="100"/>
        <c:noMultiLvlLbl val="0"/>
      </c:catAx>
      <c:valAx>
        <c:axId val="70527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27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'Executive Sales Dashboard'!$D$4:$D$9</c:f>
              <c:numCache>
                <c:formatCode>General</c:formatCode>
                <c:ptCount val="6"/>
                <c:pt idx="0">
                  <c:v>14000</c:v>
                </c:pt>
                <c:pt idx="1">
                  <c:v>17000</c:v>
                </c:pt>
                <c:pt idx="2">
                  <c:v>15000</c:v>
                </c:pt>
                <c:pt idx="3">
                  <c:v>21000</c:v>
                </c:pt>
                <c:pt idx="4">
                  <c:v>19000</c:v>
                </c:pt>
                <c:pt idx="5">
                  <c:v>24000</c:v>
                </c:pt>
              </c:numCache>
            </c:numRef>
          </c:val>
          <c:smooth val="0"/>
          <c:extLst>
            <c:ext xmlns:c16="http://schemas.microsoft.com/office/drawing/2014/chart" uri="{C3380CC4-5D6E-409C-BE32-E72D297353CC}">
              <c16:uniqueId val="{00000000-F09D-47D9-BEDF-4A60D9D7820F}"/>
            </c:ext>
          </c:extLst>
        </c:ser>
        <c:dLbls>
          <c:showLegendKey val="0"/>
          <c:showVal val="0"/>
          <c:showCatName val="0"/>
          <c:showSerName val="0"/>
          <c:showPercent val="0"/>
          <c:showBubbleSize val="0"/>
        </c:dLbls>
        <c:smooth val="0"/>
        <c:axId val="969097328"/>
        <c:axId val="969097808"/>
      </c:lineChart>
      <c:catAx>
        <c:axId val="9690973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97808"/>
        <c:crosses val="autoZero"/>
        <c:auto val="1"/>
        <c:lblAlgn val="ctr"/>
        <c:lblOffset val="100"/>
        <c:noMultiLvlLbl val="0"/>
      </c:catAx>
      <c:valAx>
        <c:axId val="96909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val>
            <c:numRef>
              <c:f>'Executive Sales Dashboard'!$E$4:$E$9</c:f>
              <c:numCache>
                <c:formatCode>General</c:formatCode>
                <c:ptCount val="6"/>
                <c:pt idx="0">
                  <c:v>120</c:v>
                </c:pt>
                <c:pt idx="1">
                  <c:v>135</c:v>
                </c:pt>
                <c:pt idx="2">
                  <c:v>128</c:v>
                </c:pt>
                <c:pt idx="3">
                  <c:v>165</c:v>
                </c:pt>
                <c:pt idx="4">
                  <c:v>150</c:v>
                </c:pt>
                <c:pt idx="5">
                  <c:v>180</c:v>
                </c:pt>
              </c:numCache>
            </c:numRef>
          </c:val>
          <c:extLst>
            <c:ext xmlns:c16="http://schemas.microsoft.com/office/drawing/2014/chart" uri="{C3380CC4-5D6E-409C-BE32-E72D297353CC}">
              <c16:uniqueId val="{00000000-C629-4446-B89C-EE8963705860}"/>
            </c:ext>
          </c:extLst>
        </c:ser>
        <c:dLbls>
          <c:showLegendKey val="0"/>
          <c:showVal val="0"/>
          <c:showCatName val="0"/>
          <c:showSerName val="0"/>
          <c:showPercent val="0"/>
          <c:showBubbleSize val="0"/>
        </c:dLbls>
        <c:gapWidth val="182"/>
        <c:axId val="830641328"/>
        <c:axId val="830641808"/>
      </c:barChart>
      <c:catAx>
        <c:axId val="83064132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41808"/>
        <c:crosses val="autoZero"/>
        <c:auto val="1"/>
        <c:lblAlgn val="ctr"/>
        <c:lblOffset val="100"/>
        <c:noMultiLvlLbl val="0"/>
      </c:catAx>
      <c:valAx>
        <c:axId val="83064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4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6728005050505053"/>
          <c:y val="0.21230166666666669"/>
          <c:w val="0.27826843434343435"/>
          <c:h val="0.6121905555555555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32-437C-BA1C-09EDB50FF9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32-437C-BA1C-09EDB50FF9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32-437C-BA1C-09EDB50FF9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32-437C-BA1C-09EDB50FF9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32-437C-BA1C-09EDB50FF9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632-437C-BA1C-09EDB50FF978}"/>
              </c:ext>
            </c:extLst>
          </c:dPt>
          <c:val>
            <c:numRef>
              <c:f>'Executive Sales Dashboard'!$B$4:$B$9</c:f>
              <c:numCache>
                <c:formatCode>General</c:formatCode>
                <c:ptCount val="6"/>
                <c:pt idx="0">
                  <c:v>95000</c:v>
                </c:pt>
                <c:pt idx="1">
                  <c:v>110000</c:v>
                </c:pt>
                <c:pt idx="2">
                  <c:v>98000</c:v>
                </c:pt>
                <c:pt idx="3">
                  <c:v>125000</c:v>
                </c:pt>
                <c:pt idx="4">
                  <c:v>118000</c:v>
                </c:pt>
                <c:pt idx="5">
                  <c:v>140000</c:v>
                </c:pt>
              </c:numCache>
            </c:numRef>
          </c:val>
          <c:extLst>
            <c:ext xmlns:c16="http://schemas.microsoft.com/office/drawing/2014/chart" uri="{C3380CC4-5D6E-409C-BE32-E72D297353CC}">
              <c16:uniqueId val="{0000000C-8632-437C-BA1C-09EDB50FF9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32650283331811819"/>
          <c:y val="0.83455197067297371"/>
          <c:w val="0.36434187589768408"/>
          <c:h val="0.14375003915319748"/>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30879</xdr:colOff>
      <xdr:row>9</xdr:row>
      <xdr:rowOff>191642</xdr:rowOff>
    </xdr:from>
    <xdr:to>
      <xdr:col>5</xdr:col>
      <xdr:colOff>439811</xdr:colOff>
      <xdr:row>19</xdr:row>
      <xdr:rowOff>61713</xdr:rowOff>
    </xdr:to>
    <xdr:graphicFrame macro="">
      <xdr:nvGraphicFramePr>
        <xdr:cNvPr id="2" name="Chart 1">
          <a:extLst>
            <a:ext uri="{FF2B5EF4-FFF2-40B4-BE49-F238E27FC236}">
              <a16:creationId xmlns:a16="http://schemas.microsoft.com/office/drawing/2014/main" id="{0A0C52D6-1B60-4412-B4A5-A08EE29A2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458357</xdr:colOff>
      <xdr:row>10</xdr:row>
      <xdr:rowOff>6369</xdr:rowOff>
    </xdr:from>
    <xdr:to>
      <xdr:col>8</xdr:col>
      <xdr:colOff>743774</xdr:colOff>
      <xdr:row>19</xdr:row>
      <xdr:rowOff>69433</xdr:rowOff>
    </xdr:to>
    <xdr:graphicFrame macro="">
      <xdr:nvGraphicFramePr>
        <xdr:cNvPr id="3" name="Chart 2">
          <a:extLst>
            <a:ext uri="{FF2B5EF4-FFF2-40B4-BE49-F238E27FC236}">
              <a16:creationId xmlns:a16="http://schemas.microsoft.com/office/drawing/2014/main" id="{F090503E-BBCE-4247-89C7-BFF0B6792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759426</xdr:colOff>
      <xdr:row>10</xdr:row>
      <xdr:rowOff>6368</xdr:rowOff>
    </xdr:from>
    <xdr:to>
      <xdr:col>12</xdr:col>
      <xdr:colOff>48999</xdr:colOff>
      <xdr:row>19</xdr:row>
      <xdr:rowOff>69432</xdr:rowOff>
    </xdr:to>
    <xdr:graphicFrame macro="">
      <xdr:nvGraphicFramePr>
        <xdr:cNvPr id="4" name="Chart 3">
          <a:extLst>
            <a:ext uri="{FF2B5EF4-FFF2-40B4-BE49-F238E27FC236}">
              <a16:creationId xmlns:a16="http://schemas.microsoft.com/office/drawing/2014/main" id="{62B5988D-2ED1-4097-8191-6622EC9A7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64651</xdr:colOff>
      <xdr:row>10</xdr:row>
      <xdr:rowOff>6368</xdr:rowOff>
    </xdr:from>
    <xdr:to>
      <xdr:col>16</xdr:col>
      <xdr:colOff>558500</xdr:colOff>
      <xdr:row>19</xdr:row>
      <xdr:rowOff>69432</xdr:rowOff>
    </xdr:to>
    <xdr:graphicFrame macro="">
      <xdr:nvGraphicFramePr>
        <xdr:cNvPr id="5" name="Chart 4">
          <a:extLst>
            <a:ext uri="{FF2B5EF4-FFF2-40B4-BE49-F238E27FC236}">
              <a16:creationId xmlns:a16="http://schemas.microsoft.com/office/drawing/2014/main" id="{B255CB55-6806-4183-9CD9-8A5F3138D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12</xdr:col>
      <xdr:colOff>160051</xdr:colOff>
      <xdr:row>0</xdr:row>
      <xdr:rowOff>301806</xdr:rowOff>
    </xdr:from>
    <xdr:to>
      <xdr:col>13</xdr:col>
      <xdr:colOff>1350866</xdr:colOff>
      <xdr:row>7</xdr:row>
      <xdr:rowOff>128247</xdr:rowOff>
    </xdr:to>
    <mc:AlternateContent xmlns:mc="http://schemas.openxmlformats.org/markup-compatibility/2006">
      <mc:Choice xmlns:sle15="http://schemas.microsoft.com/office/drawing/2012/slicer" Requires="sle15">
        <xdr:graphicFrame macro="">
          <xdr:nvGraphicFramePr>
            <xdr:cNvPr id="6" name="Month 1">
              <a:extLst>
                <a:ext uri="{FF2B5EF4-FFF2-40B4-BE49-F238E27FC236}">
                  <a16:creationId xmlns:a16="http://schemas.microsoft.com/office/drawing/2014/main" id="{6960277A-8C38-4C2C-A943-129528FEEBF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018609" y="301806"/>
              <a:ext cx="1823500" cy="199808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9B0C1A34-F0E8-49FA-8B66-862E9958A0A1}" sourceName="Month">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8B025D2-0CE5-4781-8A57-8A15BB64FC16}" cache="Slicer_Month1" caption="Month"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BD07F6-FD63-4596-BB26-297DEAAA8CED}" name="Table1" displayName="Table1" ref="A3:H9" totalsRowShown="0" headerRowDxfId="18" dataDxfId="19">
  <autoFilter ref="A3:H9" xr:uid="{76BD07F6-FD63-4596-BB26-297DEAAA8CED}"/>
  <tableColumns count="8">
    <tableColumn id="1" xr3:uid="{C2B9224A-4536-4AC7-B30C-CA4BFAD1D230}" name="Month" dataDxfId="17"/>
    <tableColumn id="2" xr3:uid="{F200E998-4372-4B19-964F-24CF7EA6B5CD}" name="Sales" dataDxfId="16"/>
    <tableColumn id="3" xr3:uid="{1DF2D0FB-598B-419C-BEF6-DAE77C1E0B01}" name="Target" dataDxfId="15"/>
    <tableColumn id="4" xr3:uid="{5E57ED65-CA34-4416-98F8-3C17B35648BB}" name="Profit" dataDxfId="14"/>
    <tableColumn id="5" xr3:uid="{1A1DE692-BC46-409C-87D1-669DC7DD4275}" name="Orders" dataDxfId="13"/>
    <tableColumn id="6" xr3:uid="{9CC77DE7-AF8B-4A3B-B82C-F2EF185B028F}" name="Variance" dataDxfId="12">
      <calculatedColumnFormula>B4-C4</calculatedColumnFormula>
    </tableColumn>
    <tableColumn id="7" xr3:uid="{57B6954D-55B9-477B-8909-5FD84E76013A}" name="Achievements" dataDxfId="11" dataCellStyle="Percent">
      <calculatedColumnFormula>B4/C4</calculatedColumnFormula>
    </tableColumn>
    <tableColumn id="8" xr3:uid="{EC83197C-101C-450B-9DC2-5E201CB241FC}" name="Trends"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7DFBA7-12D4-42AD-BE3A-06135171E990}" name="Table13" displayName="Table13" ref="A3:H9" totalsRowShown="0" headerRowDxfId="9" dataDxfId="8">
  <autoFilter ref="A3:H9" xr:uid="{76BD07F6-FD63-4596-BB26-297DEAAA8CED}"/>
  <tableColumns count="8">
    <tableColumn id="1" xr3:uid="{AEC61978-8ABE-4BC6-8089-342B5EE1E503}" name="Month" dataDxfId="7"/>
    <tableColumn id="2" xr3:uid="{6E36DB00-FDAA-400B-86FF-9AAA7B0EA48A}" name="Sales" dataDxfId="6"/>
    <tableColumn id="3" xr3:uid="{B79DC93F-3521-40D2-876A-4B5C811CA50E}" name="Target" dataDxfId="5"/>
    <tableColumn id="4" xr3:uid="{DEA1ED4B-22F4-49C1-B313-3A6A24E60592}" name="Profit" dataDxfId="4"/>
    <tableColumn id="5" xr3:uid="{53FCE8AF-7AD0-4DBE-8AF7-87D770269E2F}" name="Orders" dataDxfId="3"/>
    <tableColumn id="6" xr3:uid="{FC42014F-45BE-451D-9C54-D9ECA90FD671}" name="Variance" dataDxfId="2">
      <calculatedColumnFormula>B4-C4</calculatedColumnFormula>
    </tableColumn>
    <tableColumn id="7" xr3:uid="{7BE1928E-6BF5-495E-9440-21ECB44A5D53}" name="Achievements" dataDxfId="1" dataCellStyle="Percent">
      <calculatedColumnFormula>B4/C4</calculatedColumnFormula>
    </tableColumn>
    <tableColumn id="8" xr3:uid="{360F9644-01ED-4F93-9565-EFFC01FCCA39}" name="Trend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956B-72EB-444C-BDE7-2D9467273C83}">
  <dimension ref="A1:N9"/>
  <sheetViews>
    <sheetView zoomScale="93" workbookViewId="0">
      <selection activeCell="J4" sqref="J4"/>
    </sheetView>
  </sheetViews>
  <sheetFormatPr defaultRowHeight="15.05" x14ac:dyDescent="0.3"/>
  <cols>
    <col min="2" max="2" width="9.44140625" bestFit="1" customWidth="1"/>
    <col min="3" max="3" width="10.5546875" bestFit="1" customWidth="1"/>
    <col min="4" max="4" width="9.88671875" bestFit="1" customWidth="1"/>
    <col min="5" max="5" width="10.77734375" bestFit="1" customWidth="1"/>
    <col min="6" max="6" width="12.5546875" bestFit="1" customWidth="1"/>
    <col min="7" max="7" width="17.109375" bestFit="1" customWidth="1"/>
    <col min="8" max="8" width="21.33203125" customWidth="1"/>
    <col min="9" max="9" width="12.44140625" customWidth="1"/>
    <col min="10" max="10" width="21.109375" bestFit="1" customWidth="1"/>
    <col min="11" max="11" width="9.77734375" customWidth="1"/>
    <col min="12" max="12" width="21.88671875" bestFit="1" customWidth="1"/>
    <col min="14" max="14" width="21.88671875" bestFit="1" customWidth="1"/>
  </cols>
  <sheetData>
    <row r="1" spans="1:14" ht="28.2" x14ac:dyDescent="0.5">
      <c r="A1" s="4" t="s">
        <v>0</v>
      </c>
      <c r="B1" s="4"/>
      <c r="C1" s="4"/>
      <c r="D1" s="4"/>
      <c r="E1" s="4"/>
      <c r="F1" s="4"/>
      <c r="G1" s="4"/>
      <c r="H1" s="4"/>
      <c r="I1" s="4"/>
      <c r="J1" s="4"/>
    </row>
    <row r="3" spans="1:14" ht="28.2" x14ac:dyDescent="0.5">
      <c r="A3" s="2" t="s">
        <v>1</v>
      </c>
      <c r="B3" s="2" t="s">
        <v>2</v>
      </c>
      <c r="C3" s="2" t="s">
        <v>3</v>
      </c>
      <c r="D3" s="2" t="s">
        <v>4</v>
      </c>
      <c r="E3" s="2" t="s">
        <v>5</v>
      </c>
      <c r="F3" s="2" t="s">
        <v>16</v>
      </c>
      <c r="G3" s="2" t="s">
        <v>17</v>
      </c>
      <c r="H3" s="2" t="s">
        <v>18</v>
      </c>
      <c r="J3" s="6" t="s">
        <v>13</v>
      </c>
      <c r="L3" s="6" t="s">
        <v>14</v>
      </c>
      <c r="N3" s="5"/>
    </row>
    <row r="4" spans="1:14" ht="28.2" x14ac:dyDescent="0.5">
      <c r="A4" s="3" t="s">
        <v>6</v>
      </c>
      <c r="B4" s="1">
        <v>95000</v>
      </c>
      <c r="C4" s="1">
        <v>100000</v>
      </c>
      <c r="D4" s="1">
        <v>14000</v>
      </c>
      <c r="E4" s="1">
        <v>120</v>
      </c>
      <c r="F4" s="1">
        <f t="shared" ref="F4:F9" si="0">B4-C4</f>
        <v>-5000</v>
      </c>
      <c r="G4" s="7">
        <f t="shared" ref="G4:G9" si="1">B4/C4</f>
        <v>0.95</v>
      </c>
      <c r="H4" s="3"/>
      <c r="J4" s="5">
        <f>SUM(C4:C9)</f>
        <v>695000</v>
      </c>
      <c r="L4" s="5">
        <f>SUM(Table1[Profit])</f>
        <v>110000</v>
      </c>
    </row>
    <row r="5" spans="1:14" x14ac:dyDescent="0.3">
      <c r="A5" s="3" t="s">
        <v>7</v>
      </c>
      <c r="B5" s="1">
        <v>110000</v>
      </c>
      <c r="C5" s="1">
        <v>105000</v>
      </c>
      <c r="D5" s="1">
        <v>17000</v>
      </c>
      <c r="E5" s="1">
        <v>135</v>
      </c>
      <c r="F5" s="1">
        <f t="shared" si="0"/>
        <v>5000</v>
      </c>
      <c r="G5" s="7">
        <f t="shared" si="1"/>
        <v>1.0476190476190477</v>
      </c>
      <c r="H5" s="3"/>
    </row>
    <row r="6" spans="1:14" ht="28.2" x14ac:dyDescent="0.5">
      <c r="A6" s="3" t="s">
        <v>8</v>
      </c>
      <c r="B6" s="1">
        <v>98000</v>
      </c>
      <c r="C6" s="1">
        <v>110000</v>
      </c>
      <c r="D6" s="1">
        <v>15000</v>
      </c>
      <c r="E6" s="1">
        <v>128</v>
      </c>
      <c r="F6" s="1">
        <f t="shared" si="0"/>
        <v>-12000</v>
      </c>
      <c r="G6" s="7">
        <f t="shared" si="1"/>
        <v>0.89090909090909087</v>
      </c>
      <c r="H6" s="3"/>
      <c r="J6" s="6" t="s">
        <v>12</v>
      </c>
      <c r="L6" s="6" t="s">
        <v>15</v>
      </c>
    </row>
    <row r="7" spans="1:14" ht="28.2" x14ac:dyDescent="0.5">
      <c r="A7" s="3" t="s">
        <v>9</v>
      </c>
      <c r="B7" s="1">
        <v>125000</v>
      </c>
      <c r="C7" s="1">
        <v>120000</v>
      </c>
      <c r="D7" s="1">
        <v>21000</v>
      </c>
      <c r="E7" s="1">
        <v>165</v>
      </c>
      <c r="F7" s="1">
        <f t="shared" si="0"/>
        <v>5000</v>
      </c>
      <c r="G7" s="7">
        <f t="shared" si="1"/>
        <v>1.0416666666666667</v>
      </c>
      <c r="H7" s="3"/>
      <c r="J7" s="5">
        <f>SUM(B4:B9)</f>
        <v>686000</v>
      </c>
      <c r="L7" s="5">
        <f>SUM(Table1[Orders])</f>
        <v>878</v>
      </c>
    </row>
    <row r="8" spans="1:14" x14ac:dyDescent="0.3">
      <c r="A8" s="3" t="s">
        <v>10</v>
      </c>
      <c r="B8" s="1">
        <v>118000</v>
      </c>
      <c r="C8" s="1">
        <v>125000</v>
      </c>
      <c r="D8" s="1">
        <v>19000</v>
      </c>
      <c r="E8" s="1">
        <v>150</v>
      </c>
      <c r="F8" s="1">
        <f t="shared" si="0"/>
        <v>-7000</v>
      </c>
      <c r="G8" s="7">
        <f t="shared" si="1"/>
        <v>0.94399999999999995</v>
      </c>
      <c r="H8" s="3"/>
    </row>
    <row r="9" spans="1:14" x14ac:dyDescent="0.3">
      <c r="A9" s="3" t="s">
        <v>11</v>
      </c>
      <c r="B9" s="1">
        <v>140000</v>
      </c>
      <c r="C9" s="1">
        <v>135000</v>
      </c>
      <c r="D9" s="1">
        <v>24000</v>
      </c>
      <c r="E9" s="1">
        <v>180</v>
      </c>
      <c r="F9" s="1">
        <f t="shared" si="0"/>
        <v>5000</v>
      </c>
      <c r="G9" s="7">
        <f>B9/C9</f>
        <v>1.037037037037037</v>
      </c>
      <c r="H9" s="3"/>
    </row>
  </sheetData>
  <mergeCells count="1">
    <mergeCell ref="A1:J1"/>
  </mergeCells>
  <conditionalFormatting sqref="G4:G9">
    <cfRule type="dataBar" priority="4">
      <dataBar>
        <cfvo type="min"/>
        <cfvo type="max"/>
        <color rgb="FF63C384"/>
      </dataBar>
      <extLst>
        <ext xmlns:x14="http://schemas.microsoft.com/office/spreadsheetml/2009/9/main" uri="{B025F937-C7B1-47D3-B67F-A62EFF666E3E}">
          <x14:id>{75AAC9D0-7EA4-40D4-8BBE-13E19A53F52D}</x14:id>
        </ext>
      </extLst>
    </cfRule>
    <cfRule type="iconSet" priority="3">
      <iconSet iconSet="3TrafficLights2">
        <cfvo type="percent" val="0"/>
        <cfvo type="percent" val="33"/>
        <cfvo type="percent" val="67"/>
      </iconSet>
    </cfRule>
    <cfRule type="iconSet" priority="2">
      <iconSet>
        <cfvo type="percent" val="0"/>
        <cfvo type="percent" val="90"/>
        <cfvo type="percent" val="100"/>
      </iconSet>
    </cfRule>
    <cfRule type="iconSet" priority="1">
      <iconSet>
        <cfvo type="percent" val="0"/>
        <cfvo type="percent" val="90"/>
        <cfvo type="percent" val="100"/>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5AAC9D0-7EA4-40D4-8BBE-13E19A53F52D}">
            <x14:dataBar minLength="0" maxLength="100" border="1" negativeBarBorderColorSameAsPositive="0">
              <x14:cfvo type="autoMin"/>
              <x14:cfvo type="autoMax"/>
              <x14:borderColor rgb="FF63C384"/>
              <x14:negativeFillColor rgb="FFFF0000"/>
              <x14:negativeBorderColor rgb="FFFF0000"/>
              <x14:axisColor rgb="FF000000"/>
            </x14:dataBar>
          </x14:cfRule>
          <xm:sqref>G4:G9</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14153BD-1BA7-4E66-82F1-B102B8CC8010}">
          <x14:colorSeries rgb="FF376092"/>
          <x14:colorNegative rgb="FFD00000"/>
          <x14:colorAxis rgb="FF000000"/>
          <x14:colorMarkers rgb="FFD00000"/>
          <x14:colorFirst rgb="FFD00000"/>
          <x14:colorLast rgb="FFD00000"/>
          <x14:colorHigh rgb="FFD00000"/>
          <x14:colorLow rgb="FFD00000"/>
          <x14:sparklines>
            <x14:sparkline>
              <xm:f>'Sales Data'!B4:B9</xm:f>
              <xm:sqref>H9</xm:sqref>
            </x14:sparkline>
          </x14:sparklines>
        </x14:sparklineGroup>
        <x14:sparklineGroup displayEmptyCellsAs="gap" xr2:uid="{CE8EE242-B0F9-4FF8-9706-4A0735C60B76}">
          <x14:colorSeries rgb="FF376092"/>
          <x14:colorNegative rgb="FFD00000"/>
          <x14:colorAxis rgb="FF000000"/>
          <x14:colorMarkers rgb="FFD00000"/>
          <x14:colorFirst rgb="FFD00000"/>
          <x14:colorLast rgb="FFD00000"/>
          <x14:colorHigh rgb="FFD00000"/>
          <x14:colorLow rgb="FFD00000"/>
          <x14:sparklines>
            <x14:sparkline>
              <xm:f>'Sales Data'!B4:B9</xm:f>
              <xm:sqref>H8</xm:sqref>
            </x14:sparkline>
          </x14:sparklines>
        </x14:sparklineGroup>
        <x14:sparklineGroup displayEmptyCellsAs="gap" xr2:uid="{794F1B86-82C2-4ACC-9CF9-AE0256216A06}">
          <x14:colorSeries rgb="FF376092"/>
          <x14:colorNegative rgb="FFD00000"/>
          <x14:colorAxis rgb="FF000000"/>
          <x14:colorMarkers rgb="FFD00000"/>
          <x14:colorFirst rgb="FFD00000"/>
          <x14:colorLast rgb="FFD00000"/>
          <x14:colorHigh rgb="FFD00000"/>
          <x14:colorLow rgb="FFD00000"/>
          <x14:sparklines>
            <x14:sparkline>
              <xm:f>'Sales Data'!B4:B9</xm:f>
              <xm:sqref>H7</xm:sqref>
            </x14:sparkline>
          </x14:sparklines>
        </x14:sparklineGroup>
        <x14:sparklineGroup displayEmptyCellsAs="gap" xr2:uid="{3EF3A87B-D049-45F1-B62A-97D9C959CAD7}">
          <x14:colorSeries rgb="FF376092"/>
          <x14:colorNegative rgb="FFD00000"/>
          <x14:colorAxis rgb="FF000000"/>
          <x14:colorMarkers rgb="FFD00000"/>
          <x14:colorFirst rgb="FFD00000"/>
          <x14:colorLast rgb="FFD00000"/>
          <x14:colorHigh rgb="FFD00000"/>
          <x14:colorLow rgb="FFD00000"/>
          <x14:sparklines>
            <x14:sparkline>
              <xm:f>'Sales Data'!B4:B9</xm:f>
              <xm:sqref>H6</xm:sqref>
            </x14:sparkline>
          </x14:sparklines>
        </x14:sparklineGroup>
        <x14:sparklineGroup displayEmptyCellsAs="gap" xr2:uid="{FC1C122C-6CB8-43D0-B86A-BDA88A78B312}">
          <x14:colorSeries rgb="FF376092"/>
          <x14:colorNegative rgb="FFD00000"/>
          <x14:colorAxis rgb="FF000000"/>
          <x14:colorMarkers rgb="FFD00000"/>
          <x14:colorFirst rgb="FFD00000"/>
          <x14:colorLast rgb="FFD00000"/>
          <x14:colorHigh rgb="FFD00000"/>
          <x14:colorLow rgb="FFD00000"/>
          <x14:sparklines>
            <x14:sparkline>
              <xm:f>'Sales Data'!B4:B9</xm:f>
              <xm:sqref>H5</xm:sqref>
            </x14:sparkline>
          </x14:sparklines>
        </x14:sparklineGroup>
        <x14:sparklineGroup displayEmptyCellsAs="gap" xr2:uid="{DE6CCE31-C374-4DE4-B010-1D4023F1173D}">
          <x14:colorSeries rgb="FF376092"/>
          <x14:colorNegative rgb="FFD00000"/>
          <x14:colorAxis rgb="FF000000"/>
          <x14:colorMarkers rgb="FFD00000"/>
          <x14:colorFirst rgb="FFD00000"/>
          <x14:colorLast rgb="FFD00000"/>
          <x14:colorHigh rgb="FFD00000"/>
          <x14:colorLow rgb="FFD00000"/>
          <x14:sparklines>
            <x14:sparkline>
              <xm:f>'Sales Data'!B4:B9</xm:f>
              <xm:sqref>H4</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27B4-ECA8-4636-AEB5-2970FEE12E79}">
  <dimension ref="A1:N9"/>
  <sheetViews>
    <sheetView showGridLines="0" tabSelected="1" zoomScale="93" workbookViewId="0">
      <selection activeCell="P23" sqref="P23"/>
    </sheetView>
  </sheetViews>
  <sheetFormatPr defaultRowHeight="15.05" x14ac:dyDescent="0.3"/>
  <cols>
    <col min="2" max="2" width="9.44140625" bestFit="1" customWidth="1"/>
    <col min="3" max="3" width="10.5546875" bestFit="1" customWidth="1"/>
    <col min="4" max="4" width="9.88671875" bestFit="1" customWidth="1"/>
    <col min="5" max="5" width="10.77734375" bestFit="1" customWidth="1"/>
    <col min="6" max="6" width="12.5546875" bestFit="1" customWidth="1"/>
    <col min="7" max="7" width="17.109375" bestFit="1" customWidth="1"/>
    <col min="8" max="8" width="21.33203125" customWidth="1"/>
    <col min="9" max="9" width="12.44140625" customWidth="1"/>
    <col min="10" max="10" width="21.109375" bestFit="1" customWidth="1"/>
    <col min="11" max="11" width="9.77734375" customWidth="1"/>
    <col min="12" max="12" width="21.88671875" bestFit="1" customWidth="1"/>
    <col min="14" max="14" width="21.88671875" bestFit="1" customWidth="1"/>
    <col min="16" max="16" width="14.88671875" bestFit="1" customWidth="1"/>
  </cols>
  <sheetData>
    <row r="1" spans="1:14" ht="28.2" x14ac:dyDescent="0.5">
      <c r="A1" s="4" t="s">
        <v>19</v>
      </c>
      <c r="B1" s="4"/>
      <c r="C1" s="4"/>
      <c r="D1" s="4"/>
      <c r="E1" s="4"/>
      <c r="F1" s="4"/>
      <c r="G1" s="4"/>
      <c r="H1" s="4"/>
      <c r="I1" s="4"/>
      <c r="J1" s="4"/>
    </row>
    <row r="3" spans="1:14" ht="28.2" x14ac:dyDescent="0.5">
      <c r="A3" s="2" t="s">
        <v>1</v>
      </c>
      <c r="B3" s="2" t="s">
        <v>2</v>
      </c>
      <c r="C3" s="2" t="s">
        <v>3</v>
      </c>
      <c r="D3" s="2" t="s">
        <v>4</v>
      </c>
      <c r="E3" s="2" t="s">
        <v>5</v>
      </c>
      <c r="F3" s="2" t="s">
        <v>16</v>
      </c>
      <c r="G3" s="2" t="s">
        <v>17</v>
      </c>
      <c r="H3" s="2" t="s">
        <v>18</v>
      </c>
      <c r="J3" s="6" t="s">
        <v>13</v>
      </c>
      <c r="L3" s="6" t="s">
        <v>14</v>
      </c>
      <c r="N3" s="5"/>
    </row>
    <row r="4" spans="1:14" ht="28.2" x14ac:dyDescent="0.5">
      <c r="A4" s="3" t="s">
        <v>6</v>
      </c>
      <c r="B4" s="1">
        <v>95000</v>
      </c>
      <c r="C4" s="1">
        <v>100000</v>
      </c>
      <c r="D4" s="1">
        <v>14000</v>
      </c>
      <c r="E4" s="1">
        <v>120</v>
      </c>
      <c r="F4" s="1">
        <f t="shared" ref="F4:F9" si="0">B4-C4</f>
        <v>-5000</v>
      </c>
      <c r="G4" s="7">
        <f t="shared" ref="G4:G9" si="1">B4/C4</f>
        <v>0.95</v>
      </c>
      <c r="H4" s="3"/>
      <c r="J4" s="5">
        <f>SUM(C4:C9)</f>
        <v>695000</v>
      </c>
      <c r="L4" s="5">
        <f>SUM(Table13[Profit])</f>
        <v>110000</v>
      </c>
    </row>
    <row r="5" spans="1:14" x14ac:dyDescent="0.3">
      <c r="A5" s="3" t="s">
        <v>7</v>
      </c>
      <c r="B5" s="1">
        <v>110000</v>
      </c>
      <c r="C5" s="1">
        <v>105000</v>
      </c>
      <c r="D5" s="1">
        <v>17000</v>
      </c>
      <c r="E5" s="1">
        <v>135</v>
      </c>
      <c r="F5" s="1">
        <f t="shared" si="0"/>
        <v>5000</v>
      </c>
      <c r="G5" s="7">
        <f t="shared" si="1"/>
        <v>1.0476190476190477</v>
      </c>
      <c r="H5" s="3"/>
    </row>
    <row r="6" spans="1:14" ht="28.2" x14ac:dyDescent="0.5">
      <c r="A6" s="3" t="s">
        <v>8</v>
      </c>
      <c r="B6" s="1">
        <v>98000</v>
      </c>
      <c r="C6" s="1">
        <v>110000</v>
      </c>
      <c r="D6" s="1">
        <v>15000</v>
      </c>
      <c r="E6" s="1">
        <v>128</v>
      </c>
      <c r="F6" s="1">
        <f t="shared" si="0"/>
        <v>-12000</v>
      </c>
      <c r="G6" s="7">
        <f t="shared" si="1"/>
        <v>0.89090909090909087</v>
      </c>
      <c r="H6" s="3"/>
      <c r="J6" s="6" t="s">
        <v>12</v>
      </c>
      <c r="L6" s="6" t="s">
        <v>15</v>
      </c>
    </row>
    <row r="7" spans="1:14" ht="28.2" x14ac:dyDescent="0.5">
      <c r="A7" s="3" t="s">
        <v>9</v>
      </c>
      <c r="B7" s="1">
        <v>125000</v>
      </c>
      <c r="C7" s="1">
        <v>120000</v>
      </c>
      <c r="D7" s="1">
        <v>21000</v>
      </c>
      <c r="E7" s="1">
        <v>165</v>
      </c>
      <c r="F7" s="1">
        <f t="shared" si="0"/>
        <v>5000</v>
      </c>
      <c r="G7" s="7">
        <f t="shared" si="1"/>
        <v>1.0416666666666667</v>
      </c>
      <c r="H7" s="3"/>
      <c r="J7" s="5">
        <f>SUM(B4:B9)</f>
        <v>686000</v>
      </c>
      <c r="L7" s="5">
        <f>SUM(Table13[Orders])</f>
        <v>878</v>
      </c>
    </row>
    <row r="8" spans="1:14" x14ac:dyDescent="0.3">
      <c r="A8" s="3" t="s">
        <v>10</v>
      </c>
      <c r="B8" s="1">
        <v>118000</v>
      </c>
      <c r="C8" s="1">
        <v>125000</v>
      </c>
      <c r="D8" s="1">
        <v>19000</v>
      </c>
      <c r="E8" s="1">
        <v>150</v>
      </c>
      <c r="F8" s="1">
        <f t="shared" si="0"/>
        <v>-7000</v>
      </c>
      <c r="G8" s="7">
        <f t="shared" si="1"/>
        <v>0.94399999999999995</v>
      </c>
      <c r="H8" s="3"/>
    </row>
    <row r="9" spans="1:14" x14ac:dyDescent="0.3">
      <c r="A9" s="3" t="s">
        <v>11</v>
      </c>
      <c r="B9" s="1">
        <v>140000</v>
      </c>
      <c r="C9" s="1">
        <v>135000</v>
      </c>
      <c r="D9" s="1">
        <v>24000</v>
      </c>
      <c r="E9" s="1">
        <v>180</v>
      </c>
      <c r="F9" s="1">
        <f t="shared" si="0"/>
        <v>5000</v>
      </c>
      <c r="G9" s="7">
        <f>B9/C9</f>
        <v>1.037037037037037</v>
      </c>
      <c r="H9" s="3"/>
    </row>
  </sheetData>
  <mergeCells count="1">
    <mergeCell ref="A1:J1"/>
  </mergeCells>
  <conditionalFormatting sqref="G4:G9">
    <cfRule type="iconSet" priority="1">
      <iconSet>
        <cfvo type="percent" val="0"/>
        <cfvo type="percent" val="90"/>
        <cfvo type="percent" val="100"/>
      </iconSet>
    </cfRule>
    <cfRule type="iconSet" priority="2">
      <iconSet>
        <cfvo type="percent" val="0"/>
        <cfvo type="percent" val="90"/>
        <cfvo type="percent" val="100"/>
      </iconSet>
    </cfRule>
    <cfRule type="iconSet" priority="3">
      <iconSet iconSet="3TrafficLights2">
        <cfvo type="percent" val="0"/>
        <cfvo type="percent" val="33"/>
        <cfvo type="percent" val="67"/>
      </iconSet>
    </cfRule>
    <cfRule type="dataBar" priority="4">
      <dataBar>
        <cfvo type="min"/>
        <cfvo type="max"/>
        <color rgb="FF63C384"/>
      </dataBar>
      <extLst>
        <ext xmlns:x14="http://schemas.microsoft.com/office/spreadsheetml/2009/9/main" uri="{B025F937-C7B1-47D3-B67F-A62EFF666E3E}">
          <x14:id>{D9DA1198-0298-4940-87BE-347E8499D444}</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9DA1198-0298-4940-87BE-347E8499D444}">
            <x14:dataBar minLength="0" maxLength="100" border="1" negativeBarBorderColorSameAsPositive="0">
              <x14:cfvo type="autoMin"/>
              <x14:cfvo type="autoMax"/>
              <x14:borderColor rgb="FF63C384"/>
              <x14:negativeFillColor rgb="FFFF0000"/>
              <x14:negativeBorderColor rgb="FFFF0000"/>
              <x14:axisColor rgb="FF000000"/>
            </x14:dataBar>
          </x14:cfRule>
          <xm:sqref>G4:G9</xm:sqref>
        </x14:conditionalFormatting>
      </x14:conditionalFormattings>
    </ext>
    <ext xmlns:x14="http://schemas.microsoft.com/office/spreadsheetml/2009/9/main" uri="{05C60535-1F16-4fd2-B633-F4F36F0B64E0}">
      <x14:sparklineGroups xmlns:xm="http://schemas.microsoft.com/office/excel/2006/main">
        <x14:sparklineGroup displayEmptyCellsAs="gap" xr2:uid="{6844D48B-C242-4B4C-8467-7373D4A353F3}">
          <x14:colorSeries rgb="FF376092"/>
          <x14:colorNegative rgb="FFD00000"/>
          <x14:colorAxis rgb="FF000000"/>
          <x14:colorMarkers rgb="FFD00000"/>
          <x14:colorFirst rgb="FFD00000"/>
          <x14:colorLast rgb="FFD00000"/>
          <x14:colorHigh rgb="FFD00000"/>
          <x14:colorLow rgb="FFD00000"/>
          <x14:sparklines>
            <x14:sparkline>
              <xm:f>'Executive Sales Dashboard'!B4:B9</xm:f>
              <xm:sqref>H4</xm:sqref>
            </x14:sparkline>
          </x14:sparklines>
        </x14:sparklineGroup>
        <x14:sparklineGroup displayEmptyCellsAs="gap" xr2:uid="{7C69FA7F-E73C-43B3-BB70-3CCCF73F211B}">
          <x14:colorSeries rgb="FF376092"/>
          <x14:colorNegative rgb="FFD00000"/>
          <x14:colorAxis rgb="FF000000"/>
          <x14:colorMarkers rgb="FFD00000"/>
          <x14:colorFirst rgb="FFD00000"/>
          <x14:colorLast rgb="FFD00000"/>
          <x14:colorHigh rgb="FFD00000"/>
          <x14:colorLow rgb="FFD00000"/>
          <x14:sparklines>
            <x14:sparkline>
              <xm:f>'Executive Sales Dashboard'!B4:B9</xm:f>
              <xm:sqref>H5</xm:sqref>
            </x14:sparkline>
          </x14:sparklines>
        </x14:sparklineGroup>
        <x14:sparklineGroup displayEmptyCellsAs="gap" xr2:uid="{F3E44C4D-39C4-4438-8FEA-1E84D159E52C}">
          <x14:colorSeries rgb="FF376092"/>
          <x14:colorNegative rgb="FFD00000"/>
          <x14:colorAxis rgb="FF000000"/>
          <x14:colorMarkers rgb="FFD00000"/>
          <x14:colorFirst rgb="FFD00000"/>
          <x14:colorLast rgb="FFD00000"/>
          <x14:colorHigh rgb="FFD00000"/>
          <x14:colorLow rgb="FFD00000"/>
          <x14:sparklines>
            <x14:sparkline>
              <xm:f>'Executive Sales Dashboard'!B4:B9</xm:f>
              <xm:sqref>H6</xm:sqref>
            </x14:sparkline>
          </x14:sparklines>
        </x14:sparklineGroup>
        <x14:sparklineGroup displayEmptyCellsAs="gap" xr2:uid="{0D7602BB-161A-44CF-A47A-2F3CE1554681}">
          <x14:colorSeries rgb="FF376092"/>
          <x14:colorNegative rgb="FFD00000"/>
          <x14:colorAxis rgb="FF000000"/>
          <x14:colorMarkers rgb="FFD00000"/>
          <x14:colorFirst rgb="FFD00000"/>
          <x14:colorLast rgb="FFD00000"/>
          <x14:colorHigh rgb="FFD00000"/>
          <x14:colorLow rgb="FFD00000"/>
          <x14:sparklines>
            <x14:sparkline>
              <xm:f>'Executive Sales Dashboard'!B4:B9</xm:f>
              <xm:sqref>H7</xm:sqref>
            </x14:sparkline>
          </x14:sparklines>
        </x14:sparklineGroup>
        <x14:sparklineGroup displayEmptyCellsAs="gap" xr2:uid="{1E23353A-4F65-427A-A0B2-4A2A23F9BF80}">
          <x14:colorSeries rgb="FF376092"/>
          <x14:colorNegative rgb="FFD00000"/>
          <x14:colorAxis rgb="FF000000"/>
          <x14:colorMarkers rgb="FFD00000"/>
          <x14:colorFirst rgb="FFD00000"/>
          <x14:colorLast rgb="FFD00000"/>
          <x14:colorHigh rgb="FFD00000"/>
          <x14:colorLow rgb="FFD00000"/>
          <x14:sparklines>
            <x14:sparkline>
              <xm:f>'Executive Sales Dashboard'!B4:B9</xm:f>
              <xm:sqref>H8</xm:sqref>
            </x14:sparkline>
          </x14:sparklines>
        </x14:sparklineGroup>
        <x14:sparklineGroup displayEmptyCellsAs="gap" xr2:uid="{37B717ED-0835-473C-A528-AB3ACBC3643E}">
          <x14:colorSeries rgb="FF376092"/>
          <x14:colorNegative rgb="FFD00000"/>
          <x14:colorAxis rgb="FF000000"/>
          <x14:colorMarkers rgb="FFD00000"/>
          <x14:colorFirst rgb="FFD00000"/>
          <x14:colorLast rgb="FFD00000"/>
          <x14:colorHigh rgb="FFD00000"/>
          <x14:colorLow rgb="FFD00000"/>
          <x14:sparklines>
            <x14:sparkline>
              <xm:f>'Executive Sales Dashboard'!B4:B9</xm:f>
              <xm:sqref>H9</xm:sqref>
            </x14:sparkline>
          </x14:sparklines>
        </x14:sparklineGroup>
      </x14:sparklineGroup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Data</vt:lpstr>
      <vt:lpstr>Executive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Varunkumar V</dc:creator>
  <cp:lastModifiedBy>Varunkumar V</cp:lastModifiedBy>
  <dcterms:created xsi:type="dcterms:W3CDTF">2026-07-20T09:08:15Z</dcterms:created>
  <dcterms:modified xsi:type="dcterms:W3CDTF">2026-07-24T14:13:47Z</dcterms:modified>
</cp:coreProperties>
</file>