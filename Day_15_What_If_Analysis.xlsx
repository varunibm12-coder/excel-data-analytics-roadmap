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152" documentId="8_{DF86CE27-E407-496C-A686-55290256E152}" xr6:coauthVersionLast="47" xr6:coauthVersionMax="47" xr10:uidLastSave="{048DD787-92D1-45C0-B172-C263AD4F0686}"/>
  <bookViews>
    <workbookView xWindow="-113" yWindow="-113" windowWidth="24267" windowHeight="13023" activeTab="4" xr2:uid="{C123180B-CB33-4DF0-8C47-9AD683EEB9B4}"/>
  </bookViews>
  <sheets>
    <sheet name="Sales_Data" sheetId="1" r:id="rId1"/>
    <sheet name="Goal_Seek" sheetId="2" r:id="rId2"/>
    <sheet name="Scenario_Manager" sheetId="3" r:id="rId3"/>
    <sheet name="Scenario Summary" sheetId="5" r:id="rId4"/>
    <sheet name="Data_Tabl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B5" i="4"/>
  <c r="B4" i="4"/>
  <c r="B3" i="4"/>
  <c r="B2" i="4"/>
  <c r="B6" i="3"/>
  <c r="B5" i="3"/>
  <c r="B5" i="2"/>
  <c r="B6" i="2"/>
  <c r="H7" i="1"/>
  <c r="H4" i="1"/>
  <c r="H5" i="1"/>
  <c r="H6" i="1"/>
  <c r="G4" i="1"/>
  <c r="G5" i="1"/>
  <c r="G6" i="1"/>
  <c r="G7" i="1"/>
  <c r="F3" i="1"/>
  <c r="F4" i="1"/>
  <c r="F5" i="1"/>
  <c r="F6" i="1"/>
  <c r="F7" i="1"/>
  <c r="E7" i="1"/>
  <c r="E6" i="1"/>
  <c r="E5" i="1"/>
  <c r="E4" i="1"/>
  <c r="E3" i="1"/>
  <c r="B7" i="3" l="1"/>
  <c r="B7" i="2"/>
  <c r="G3" i="1"/>
  <c r="H3" i="1" s="1"/>
</calcChain>
</file>

<file path=xl/sharedStrings.xml><?xml version="1.0" encoding="utf-8"?>
<sst xmlns="http://schemas.openxmlformats.org/spreadsheetml/2006/main" count="47" uniqueCount="29">
  <si>
    <t>Product</t>
  </si>
  <si>
    <t>Cost Price</t>
  </si>
  <si>
    <t>Selling Price</t>
  </si>
  <si>
    <t>Units Sold</t>
  </si>
  <si>
    <t>Laptop</t>
  </si>
  <si>
    <t>Mobile</t>
  </si>
  <si>
    <t>Keyboard</t>
  </si>
  <si>
    <t>Mouse</t>
  </si>
  <si>
    <t>Monitor</t>
  </si>
  <si>
    <t>Revenue</t>
  </si>
  <si>
    <t>Cost</t>
  </si>
  <si>
    <t>Profit</t>
  </si>
  <si>
    <t>Profit Margin %</t>
  </si>
  <si>
    <t>A</t>
  </si>
  <si>
    <t>B</t>
  </si>
  <si>
    <t>$B$3</t>
  </si>
  <si>
    <t>$B$4</t>
  </si>
  <si>
    <t>$B$7</t>
  </si>
  <si>
    <t>Best Case</t>
  </si>
  <si>
    <t>Created by Varunkumar V on 25-07-2026</t>
  </si>
  <si>
    <t>Expected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</si>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</sst>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79998168889431442"/>
        <bgColor theme="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3" xfId="0" applyBorder="1"/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5" xfId="0" applyBorder="1"/>
    <xf numFmtId="0" fontId="5" fillId="4" borderId="0" xfId="0" applyFont="1" applyFill="1" applyAlignment="1">
      <alignment horizontal="left"/>
    </xf>
    <xf numFmtId="0" fontId="6" fillId="4" borderId="5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0" fillId="5" borderId="0" xfId="0" applyFill="1"/>
    <xf numFmtId="0" fontId="8" fillId="0" borderId="0" xfId="0" applyFont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 vertical="center" wrapText="1"/>
    </xf>
    <xf numFmtId="164" fontId="0" fillId="0" borderId="7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5AD68-D7CD-470D-9173-FFE80047F5A2}" name="Table1" displayName="Table1" ref="A2:H7" totalsRowShown="0" headerRowDxfId="15" dataDxfId="14">
  <autoFilter ref="A2:H7" xr:uid="{4FD5AD68-D7CD-470D-9173-FFE80047F5A2}"/>
  <tableColumns count="8">
    <tableColumn id="1" xr3:uid="{A9C570F1-35AF-426A-9B19-0747124E3D0D}" name="Product" dataDxfId="13"/>
    <tableColumn id="2" xr3:uid="{E494836A-DCEC-4E65-89CA-6BABE716DB21}" name="Cost Price" dataDxfId="12"/>
    <tableColumn id="3" xr3:uid="{4955BA3F-9945-4430-9376-890E408C21D8}" name="Selling Price" dataDxfId="11"/>
    <tableColumn id="4" xr3:uid="{59B3D4AA-65BD-48FA-83F6-7D31A91DCB1F}" name="Units Sold" dataDxfId="10"/>
    <tableColumn id="5" xr3:uid="{24105353-AF13-4238-B67F-9228094CD769}" name="Revenue" dataDxfId="9">
      <calculatedColumnFormula array="1">Selling Price*Unit Sold</calculatedColumnFormula>
    </tableColumn>
    <tableColumn id="6" xr3:uid="{B9EFD8B9-B7B4-4393-8272-A584D537F81C}" name="Cost" dataDxfId="8">
      <calculatedColumnFormula>B3*D3</calculatedColumnFormula>
    </tableColumn>
    <tableColumn id="7" xr3:uid="{5841C95B-F017-420B-920A-774085ADDFA6}" name="Profit" dataDxfId="7">
      <calculatedColumnFormula>E3-F3</calculatedColumnFormula>
    </tableColumn>
    <tableColumn id="8" xr3:uid="{FE830191-2C77-4008-9A52-15D72241B1E1}" name="Profit Margin %" dataDxfId="6">
      <calculatedColumnFormula>G3/E3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8BDBFA-ACD8-4C51-9227-4E3D553C1457}" name="Table2" displayName="Table2" ref="A1:B7" totalsRowShown="0" headerRowDxfId="5" dataDxfId="4">
  <autoFilter ref="A1:B7" xr:uid="{868BDBFA-ACD8-4C51-9227-4E3D553C1457}"/>
  <tableColumns count="2">
    <tableColumn id="1" xr3:uid="{CD045889-CB7B-4282-A4F7-2994BFD3C110}" name="A" dataDxfId="3"/>
    <tableColumn id="2" xr3:uid="{8037ABAB-BCC0-47FC-A548-D1F206850BD1}" name="B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7DD02-06E2-489E-B8DE-4370AA8821D9}" name="Table3" displayName="Table3" ref="A1:B7" totalsRowShown="0">
  <autoFilter ref="A1:B7" xr:uid="{AA37DD02-06E2-489E-B8DE-4370AA8821D9}"/>
  <tableColumns count="2">
    <tableColumn id="1" xr3:uid="{A0769047-7D9C-4591-8B0A-61E269A704E1}" name="A" dataDxfId="1"/>
    <tableColumn id="2" xr3:uid="{69A92E87-9A4D-4298-9203-DB4D5970E399}" name="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0362-0D83-4D9D-8BC7-BC5C2C9AC471}">
  <dimension ref="A2:H7"/>
  <sheetViews>
    <sheetView workbookViewId="0">
      <selection activeCell="H3" sqref="H3"/>
    </sheetView>
  </sheetViews>
  <sheetFormatPr defaultRowHeight="15.05"/>
  <cols>
    <col min="1" max="1" width="11.88671875" bestFit="1" customWidth="1"/>
    <col min="2" max="3" width="15.33203125" customWidth="1"/>
    <col min="4" max="4" width="23.6640625" customWidth="1"/>
    <col min="5" max="5" width="15.21875" customWidth="1"/>
    <col min="6" max="6" width="12.21875" customWidth="1"/>
    <col min="7" max="7" width="15.88671875" customWidth="1"/>
    <col min="8" max="8" width="19.21875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>
      <c r="A3" s="3" t="s">
        <v>4</v>
      </c>
      <c r="B3" s="1">
        <v>600</v>
      </c>
      <c r="C3" s="1">
        <v>850</v>
      </c>
      <c r="D3" s="1">
        <v>45</v>
      </c>
      <c r="E3" s="1">
        <f>C3*D3</f>
        <v>38250</v>
      </c>
      <c r="F3" s="1">
        <f t="shared" ref="F3:F7" si="0">B3*D3</f>
        <v>27000</v>
      </c>
      <c r="G3" s="1">
        <f t="shared" ref="G3:G7" si="1">E3-F3</f>
        <v>11250</v>
      </c>
      <c r="H3" s="4">
        <f t="shared" ref="H3:H6" si="2">G3/E3</f>
        <v>0.29411764705882354</v>
      </c>
    </row>
    <row r="4" spans="1:8">
      <c r="A4" s="3" t="s">
        <v>5</v>
      </c>
      <c r="B4" s="1">
        <v>300</v>
      </c>
      <c r="C4" s="1">
        <v>450</v>
      </c>
      <c r="D4" s="1">
        <v>80</v>
      </c>
      <c r="E4" s="1">
        <f>450*80</f>
        <v>36000</v>
      </c>
      <c r="F4" s="1">
        <f t="shared" si="0"/>
        <v>24000</v>
      </c>
      <c r="G4" s="1">
        <f t="shared" si="1"/>
        <v>12000</v>
      </c>
      <c r="H4" s="4">
        <f t="shared" si="2"/>
        <v>0.33333333333333331</v>
      </c>
    </row>
    <row r="5" spans="1:8">
      <c r="A5" s="3" t="s">
        <v>6</v>
      </c>
      <c r="B5" s="1">
        <v>20</v>
      </c>
      <c r="C5" s="1">
        <v>35</v>
      </c>
      <c r="D5" s="1">
        <v>150</v>
      </c>
      <c r="E5" s="1">
        <f>35*150</f>
        <v>5250</v>
      </c>
      <c r="F5" s="1">
        <f t="shared" si="0"/>
        <v>3000</v>
      </c>
      <c r="G5" s="1">
        <f t="shared" si="1"/>
        <v>2250</v>
      </c>
      <c r="H5" s="4">
        <f t="shared" si="2"/>
        <v>0.42857142857142855</v>
      </c>
    </row>
    <row r="6" spans="1:8">
      <c r="A6" s="3" t="s">
        <v>7</v>
      </c>
      <c r="B6" s="1">
        <v>10</v>
      </c>
      <c r="C6" s="1">
        <v>18</v>
      </c>
      <c r="D6" s="1">
        <v>200</v>
      </c>
      <c r="E6" s="1">
        <f>18*200</f>
        <v>3600</v>
      </c>
      <c r="F6" s="1">
        <f t="shared" si="0"/>
        <v>2000</v>
      </c>
      <c r="G6" s="1">
        <f t="shared" si="1"/>
        <v>1600</v>
      </c>
      <c r="H6" s="4">
        <f t="shared" si="2"/>
        <v>0.44444444444444442</v>
      </c>
    </row>
    <row r="7" spans="1:8">
      <c r="A7" s="3" t="s">
        <v>8</v>
      </c>
      <c r="B7" s="1">
        <v>150</v>
      </c>
      <c r="C7" s="1">
        <v>240</v>
      </c>
      <c r="D7" s="1">
        <v>60</v>
      </c>
      <c r="E7" s="1">
        <f>240*60</f>
        <v>14400</v>
      </c>
      <c r="F7" s="1">
        <f t="shared" si="0"/>
        <v>9000</v>
      </c>
      <c r="G7" s="1">
        <f t="shared" si="1"/>
        <v>5400</v>
      </c>
      <c r="H7" s="4">
        <f>G7/E7</f>
        <v>0.375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6129-5F74-4FB5-AAB9-5509EB288CE6}">
  <dimension ref="A1:B7"/>
  <sheetViews>
    <sheetView zoomScale="127" workbookViewId="0">
      <selection activeCell="B7" sqref="B7"/>
    </sheetView>
  </sheetViews>
  <sheetFormatPr defaultRowHeight="15.05"/>
  <cols>
    <col min="2" max="2" width="15.77734375" bestFit="1" customWidth="1"/>
    <col min="4" max="4" width="17.6640625" bestFit="1" customWidth="1"/>
  </cols>
  <sheetData>
    <row r="1" spans="1:2">
      <c r="A1" s="2" t="s">
        <v>13</v>
      </c>
      <c r="B1" s="2" t="s">
        <v>14</v>
      </c>
    </row>
    <row r="2" spans="1:2" ht="30.05">
      <c r="A2" s="1" t="s">
        <v>1</v>
      </c>
      <c r="B2" s="1">
        <v>600</v>
      </c>
    </row>
    <row r="3" spans="1:2" ht="30.05">
      <c r="A3" s="1" t="s">
        <v>2</v>
      </c>
      <c r="B3" s="1">
        <v>850</v>
      </c>
    </row>
    <row r="4" spans="1:2" ht="30.05">
      <c r="A4" s="1" t="s">
        <v>3</v>
      </c>
      <c r="B4" s="1">
        <v>80</v>
      </c>
    </row>
    <row r="5" spans="1:2">
      <c r="A5" s="1" t="s">
        <v>9</v>
      </c>
      <c r="B5" s="7">
        <f>B3*B4</f>
        <v>68000</v>
      </c>
    </row>
    <row r="6" spans="1:2">
      <c r="A6" s="1" t="s">
        <v>10</v>
      </c>
      <c r="B6" s="7">
        <f>B2*B4</f>
        <v>48000</v>
      </c>
    </row>
    <row r="7" spans="1:2">
      <c r="A7" s="1" t="s">
        <v>11</v>
      </c>
      <c r="B7" s="7">
        <f>B5-B6</f>
        <v>20000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22B-64A5-412D-82FB-AA9A0F85677B}">
  <dimension ref="A1:B7"/>
  <sheetViews>
    <sheetView workbookViewId="0">
      <selection activeCell="B7" sqref="B7"/>
    </sheetView>
  </sheetViews>
  <sheetFormatPr defaultRowHeight="15.05"/>
  <sheetData>
    <row r="1" spans="1:2">
      <c r="A1" s="2" t="s">
        <v>13</v>
      </c>
      <c r="B1" s="6" t="s">
        <v>14</v>
      </c>
    </row>
    <row r="2" spans="1:2" ht="30.05">
      <c r="A2" s="3" t="s">
        <v>1</v>
      </c>
      <c r="B2" s="5">
        <v>600</v>
      </c>
    </row>
    <row r="3" spans="1:2" ht="30.05">
      <c r="A3" s="3" t="s">
        <v>2</v>
      </c>
      <c r="B3" s="5">
        <v>850</v>
      </c>
    </row>
    <row r="4" spans="1:2" ht="30.05">
      <c r="A4" s="3" t="s">
        <v>3</v>
      </c>
      <c r="B4" s="5">
        <v>45</v>
      </c>
    </row>
    <row r="5" spans="1:2">
      <c r="A5" s="3" t="s">
        <v>9</v>
      </c>
      <c r="B5" s="8">
        <f>B3*B4</f>
        <v>38250</v>
      </c>
    </row>
    <row r="6" spans="1:2">
      <c r="A6" s="3" t="s">
        <v>10</v>
      </c>
      <c r="B6" s="8">
        <f>B2*B4</f>
        <v>27000</v>
      </c>
    </row>
    <row r="7" spans="1:2">
      <c r="A7" s="3" t="s">
        <v>11</v>
      </c>
      <c r="B7" s="8">
        <f>B5-B6</f>
        <v>11250</v>
      </c>
    </row>
  </sheetData>
  <scenarios current="0" sqref="B7">
    <scenario name="Best Case" locked="1" count="2" user="Varunkumar V" comment="Created by Varunkumar V on 25-07-2026">
      <inputCells r="B3" val="935"/>
      <inputCells r="B4" val="54"/>
    </scenario>
    <scenario name="Expected Case" locked="1" count="2" user="Varunkumar V" comment="Created by Varunkumar V on 25-07-2026">
      <inputCells r="B3" val="850"/>
      <inputCells r="B4" val="45"/>
    </scenario>
    <scenario name="Worst Case" locked="1" count="2" user="Varunkumar V" comment="Created by Varunkumar V on 25-07-2026">
      <inputCells r="B3" val="765"/>
      <inputCells r="B4" val="36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147A-66D3-47CF-9480-D5B77FCDCFE8}">
  <sheetPr>
    <outlinePr summaryBelow="0"/>
  </sheetPr>
  <dimension ref="B1:G12"/>
  <sheetViews>
    <sheetView showGridLines="0" workbookViewId="0">
      <selection activeCell="G23" sqref="G23"/>
    </sheetView>
  </sheetViews>
  <sheetFormatPr defaultRowHeight="15.05" outlineLevelRow="1" outlineLevelCol="1"/>
  <cols>
    <col min="3" max="3" width="5.109375" bestFit="1" customWidth="1"/>
    <col min="4" max="7" width="11.88671875" bestFit="1" customWidth="1" outlineLevel="1"/>
  </cols>
  <sheetData>
    <row r="1" spans="2:7" ht="15.65" thickBot="1"/>
    <row r="2" spans="2:7" ht="15.65">
      <c r="B2" s="11" t="s">
        <v>22</v>
      </c>
      <c r="C2" s="11"/>
      <c r="D2" s="16"/>
      <c r="E2" s="16"/>
      <c r="F2" s="16"/>
      <c r="G2" s="16"/>
    </row>
    <row r="3" spans="2:7" ht="15.65" collapsed="1">
      <c r="B3" s="10"/>
      <c r="C3" s="10"/>
      <c r="D3" s="17" t="s">
        <v>24</v>
      </c>
      <c r="E3" s="17" t="s">
        <v>18</v>
      </c>
      <c r="F3" s="17" t="s">
        <v>20</v>
      </c>
      <c r="G3" s="17" t="s">
        <v>21</v>
      </c>
    </row>
    <row r="4" spans="2:7" ht="31.95" hidden="1" outlineLevel="1">
      <c r="B4" s="13"/>
      <c r="C4" s="13"/>
      <c r="E4" s="19" t="s">
        <v>19</v>
      </c>
      <c r="F4" s="19" t="s">
        <v>19</v>
      </c>
      <c r="G4" s="19" t="s">
        <v>19</v>
      </c>
    </row>
    <row r="5" spans="2:7">
      <c r="B5" s="14" t="s">
        <v>23</v>
      </c>
      <c r="C5" s="14"/>
      <c r="D5" s="12"/>
      <c r="E5" s="12"/>
      <c r="F5" s="12"/>
      <c r="G5" s="12"/>
    </row>
    <row r="6" spans="2:7" outlineLevel="1">
      <c r="B6" s="13"/>
      <c r="C6" s="13" t="s">
        <v>15</v>
      </c>
      <c r="D6">
        <v>850</v>
      </c>
      <c r="E6" s="18">
        <v>935</v>
      </c>
      <c r="F6" s="18">
        <v>850</v>
      </c>
      <c r="G6" s="18">
        <v>765</v>
      </c>
    </row>
    <row r="7" spans="2:7" outlineLevel="1">
      <c r="B7" s="13"/>
      <c r="C7" s="13" t="s">
        <v>16</v>
      </c>
      <c r="D7">
        <v>45</v>
      </c>
      <c r="E7" s="18">
        <v>54</v>
      </c>
      <c r="F7" s="18">
        <v>45</v>
      </c>
      <c r="G7" s="18">
        <v>36</v>
      </c>
    </row>
    <row r="8" spans="2:7">
      <c r="B8" s="14" t="s">
        <v>25</v>
      </c>
      <c r="C8" s="14"/>
      <c r="D8" s="12"/>
      <c r="E8" s="12"/>
      <c r="F8" s="12"/>
      <c r="G8" s="12"/>
    </row>
    <row r="9" spans="2:7" ht="15.65" outlineLevel="1" thickBot="1">
      <c r="B9" s="15"/>
      <c r="C9" s="15" t="s">
        <v>17</v>
      </c>
      <c r="D9" s="9">
        <v>11250</v>
      </c>
      <c r="E9" s="9">
        <v>18090</v>
      </c>
      <c r="F9" s="9">
        <v>11250</v>
      </c>
      <c r="G9" s="9">
        <v>5940</v>
      </c>
    </row>
    <row r="10" spans="2:7">
      <c r="B10" t="s">
        <v>26</v>
      </c>
    </row>
    <row r="11" spans="2:7">
      <c r="B11" t="s">
        <v>27</v>
      </c>
    </row>
    <row r="12" spans="2:7">
      <c r="B1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6CDC-EF84-4493-BA60-58CC3F5230F3}">
  <dimension ref="A1:B11"/>
  <sheetViews>
    <sheetView tabSelected="1" workbookViewId="0">
      <selection activeCell="I16" sqref="I16"/>
    </sheetView>
  </sheetViews>
  <sheetFormatPr defaultRowHeight="15.05"/>
  <cols>
    <col min="1" max="1" width="23.109375" customWidth="1"/>
    <col min="2" max="2" width="15.21875" customWidth="1"/>
  </cols>
  <sheetData>
    <row r="1" spans="1:2">
      <c r="A1" s="20" t="s">
        <v>3</v>
      </c>
      <c r="B1" s="24" t="s">
        <v>11</v>
      </c>
    </row>
    <row r="2" spans="1:2">
      <c r="A2" s="21">
        <v>20</v>
      </c>
      <c r="B2" s="25">
        <f t="shared" ref="B2:B11" si="0">(850-600)*A2</f>
        <v>5000</v>
      </c>
    </row>
    <row r="3" spans="1:2">
      <c r="A3" s="22">
        <v>40</v>
      </c>
      <c r="B3" s="26">
        <f t="shared" si="0"/>
        <v>10000</v>
      </c>
    </row>
    <row r="4" spans="1:2">
      <c r="A4" s="21">
        <v>60</v>
      </c>
      <c r="B4" s="25">
        <f t="shared" si="0"/>
        <v>15000</v>
      </c>
    </row>
    <row r="5" spans="1:2">
      <c r="A5" s="22">
        <v>80</v>
      </c>
      <c r="B5" s="26">
        <f t="shared" si="0"/>
        <v>20000</v>
      </c>
    </row>
    <row r="6" spans="1:2">
      <c r="A6" s="21">
        <v>100</v>
      </c>
      <c r="B6" s="25">
        <f t="shared" si="0"/>
        <v>25000</v>
      </c>
    </row>
    <row r="7" spans="1:2">
      <c r="A7" s="22">
        <v>120</v>
      </c>
      <c r="B7" s="26">
        <f t="shared" si="0"/>
        <v>30000</v>
      </c>
    </row>
    <row r="8" spans="1:2">
      <c r="A8" s="21">
        <v>140</v>
      </c>
      <c r="B8" s="25">
        <f t="shared" si="0"/>
        <v>35000</v>
      </c>
    </row>
    <row r="9" spans="1:2">
      <c r="A9" s="22">
        <v>160</v>
      </c>
      <c r="B9" s="26">
        <f t="shared" si="0"/>
        <v>40000</v>
      </c>
    </row>
    <row r="10" spans="1:2">
      <c r="A10" s="21">
        <v>180</v>
      </c>
      <c r="B10" s="25">
        <f t="shared" si="0"/>
        <v>45000</v>
      </c>
    </row>
    <row r="11" spans="1:2">
      <c r="A11" s="23">
        <v>200</v>
      </c>
      <c r="B11" s="26">
        <f t="shared" si="0"/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Goal_Seek</vt:lpstr>
      <vt:lpstr>Scenario_Manager</vt:lpstr>
      <vt:lpstr>Scenario Summary</vt:lpstr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2026-07-25T07:26:52Z</dcterms:created>
  <dcterms:modified xsi:type="dcterms:W3CDTF">2026-07-25T17:39:36Z</dcterms:modified>
</cp:coreProperties>
</file>