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626" documentId="8_{C9BA7423-7387-4CCC-AAA7-F8518E0E5801}" xr6:coauthVersionLast="47" xr6:coauthVersionMax="47" xr10:uidLastSave="{9A55993B-9945-4F84-8881-0B4F8E236B36}"/>
  <bookViews>
    <workbookView xWindow="-113" yWindow="-113" windowWidth="24267" windowHeight="13023" xr2:uid="{5CF4836D-4991-4EFD-BDE9-A265D6572409}"/>
  </bookViews>
  <sheets>
    <sheet name="Date and Time Function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" i="8" l="1"/>
  <c r="G49" i="8"/>
  <c r="G48" i="8"/>
  <c r="G47" i="8"/>
  <c r="G46" i="8"/>
  <c r="G45" i="8"/>
  <c r="G44" i="8"/>
  <c r="G43" i="8"/>
  <c r="F50" i="8"/>
  <c r="F49" i="8"/>
  <c r="F48" i="8"/>
  <c r="F47" i="8"/>
  <c r="F46" i="8"/>
  <c r="F45" i="8"/>
  <c r="F44" i="8"/>
  <c r="F43" i="8"/>
  <c r="E50" i="8"/>
  <c r="E49" i="8"/>
  <c r="E48" i="8"/>
  <c r="E47" i="8"/>
  <c r="E46" i="8"/>
  <c r="E45" i="8"/>
  <c r="E44" i="8"/>
  <c r="E43" i="8"/>
  <c r="H35" i="8"/>
  <c r="H34" i="8"/>
  <c r="H33" i="8"/>
  <c r="H32" i="8"/>
  <c r="H31" i="8"/>
  <c r="H30" i="8"/>
  <c r="G35" i="8"/>
  <c r="G34" i="8"/>
  <c r="G33" i="8"/>
  <c r="G32" i="8"/>
  <c r="G30" i="8"/>
  <c r="G31" i="8"/>
  <c r="F35" i="8"/>
  <c r="F34" i="8"/>
  <c r="F33" i="8"/>
  <c r="F32" i="8"/>
  <c r="F31" i="8"/>
  <c r="F30" i="8"/>
  <c r="E35" i="8"/>
  <c r="E34" i="8"/>
  <c r="E33" i="8"/>
  <c r="E32" i="8"/>
  <c r="E31" i="8"/>
  <c r="E30" i="8"/>
  <c r="D35" i="8"/>
  <c r="D34" i="8"/>
  <c r="D33" i="8"/>
  <c r="D32" i="8"/>
  <c r="D31" i="8"/>
  <c r="D30" i="8"/>
  <c r="C35" i="8"/>
  <c r="C34" i="8"/>
  <c r="C33" i="8"/>
  <c r="C32" i="8"/>
  <c r="C31" i="8"/>
  <c r="C30" i="8"/>
  <c r="B35" i="8"/>
  <c r="B34" i="8"/>
  <c r="B33" i="8"/>
  <c r="B32" i="8"/>
  <c r="B31" i="8"/>
  <c r="B30" i="8"/>
  <c r="F22" i="8"/>
  <c r="F21" i="8"/>
  <c r="C21" i="8"/>
  <c r="B22" i="8"/>
  <c r="C22" i="8" s="1"/>
  <c r="Q15" i="8"/>
  <c r="R15" i="8" s="1"/>
  <c r="Q14" i="8"/>
  <c r="R14" i="8" s="1"/>
  <c r="J8" i="8"/>
  <c r="N15" i="8"/>
  <c r="N14" i="8"/>
  <c r="K15" i="8"/>
  <c r="K14" i="8"/>
  <c r="H15" i="8"/>
  <c r="H14" i="8"/>
  <c r="E15" i="8"/>
  <c r="E14" i="8"/>
  <c r="B15" i="8"/>
  <c r="B14" i="8"/>
  <c r="P8" i="8"/>
  <c r="P7" i="8"/>
  <c r="M8" i="8"/>
  <c r="M7" i="8"/>
  <c r="J7" i="8"/>
  <c r="E8" i="8"/>
  <c r="B8" i="8"/>
</calcChain>
</file>

<file path=xl/sharedStrings.xml><?xml version="1.0" encoding="utf-8"?>
<sst xmlns="http://schemas.openxmlformats.org/spreadsheetml/2006/main" count="75" uniqueCount="51">
  <si>
    <t>Year</t>
  </si>
  <si>
    <t>Result</t>
  </si>
  <si>
    <t>Varun</t>
  </si>
  <si>
    <t>Rekish</t>
  </si>
  <si>
    <t>Ajay</t>
  </si>
  <si>
    <t>Sarath</t>
  </si>
  <si>
    <t>Seeman</t>
  </si>
  <si>
    <t>Nithya</t>
  </si>
  <si>
    <t>Dhanusha</t>
  </si>
  <si>
    <t>A</t>
  </si>
  <si>
    <t>B</t>
  </si>
  <si>
    <t>Formula</t>
  </si>
  <si>
    <t>Output</t>
  </si>
  <si>
    <t>NOW()</t>
  </si>
  <si>
    <t>TODAY()</t>
  </si>
  <si>
    <t>Month</t>
  </si>
  <si>
    <t>Day</t>
  </si>
  <si>
    <t>DAY 06-DATE AND TIME FUNCTIONS</t>
  </si>
  <si>
    <t>DATE()</t>
  </si>
  <si>
    <t>DAY()</t>
  </si>
  <si>
    <t>MONTH()</t>
  </si>
  <si>
    <t>YEAR()</t>
  </si>
  <si>
    <t>WEEKDAY()</t>
  </si>
  <si>
    <t>WEEKNUM()</t>
  </si>
  <si>
    <t>EDATE()</t>
  </si>
  <si>
    <t>EMONTH()</t>
  </si>
  <si>
    <t>Date</t>
  </si>
  <si>
    <t>DATEDIF()</t>
  </si>
  <si>
    <t>Start Date</t>
  </si>
  <si>
    <t>End Date</t>
  </si>
  <si>
    <t>Years</t>
  </si>
  <si>
    <t>NETWORKDAYS()</t>
  </si>
  <si>
    <t>Working Days</t>
  </si>
  <si>
    <t>WORKDAY()</t>
  </si>
  <si>
    <t>PRACTICE TABLE</t>
  </si>
  <si>
    <t>DATE</t>
  </si>
  <si>
    <t>DAY</t>
  </si>
  <si>
    <t>MONTH</t>
  </si>
  <si>
    <t>YEAR</t>
  </si>
  <si>
    <t>WEEKDAY</t>
  </si>
  <si>
    <t>WEEKNUM</t>
  </si>
  <si>
    <t>MONTH NAME</t>
  </si>
  <si>
    <t>DAY NAME</t>
  </si>
  <si>
    <t>MINI PROJECT- EMPLOYEE LEAVE TRACKER</t>
  </si>
  <si>
    <t>Employee</t>
  </si>
  <si>
    <t>Join Date</t>
  </si>
  <si>
    <t>Leave Start</t>
  </si>
  <si>
    <t>Leave End</t>
  </si>
  <si>
    <t>Experience(years)</t>
  </si>
  <si>
    <t>Vajitha</t>
  </si>
  <si>
    <t>Review Date( 1 year later)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</si>
</sst>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4" fillId="0" borderId="0" xfId="0" applyFont="1"/>
    <xf numFmtId="0" fontId="6" fillId="3" borderId="0" xfId="0" applyFon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5" fontId="0" fillId="0" borderId="0" xfId="0" applyNumberFormat="1"/>
    <xf numFmtId="15" fontId="0" fillId="0" borderId="0" xfId="0" applyNumberFormat="1" applyAlignment="1">
      <alignment horizontal="right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/>
    <xf numFmtId="0" fontId="5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numFmt numFmtId="164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</dxf>
    <dxf>
      <numFmt numFmtId="20" formatCode="dd/mmm/yy"/>
    </dxf>
    <dxf>
      <numFmt numFmtId="20" formatCode="dd/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BDA1CD-D1EA-4DB1-9BAD-4F1012766496}" name="Table6" displayName="Table6" ref="A28:H35" totalsRowShown="0" headerRowDxfId="16" dataDxfId="15">
  <autoFilter ref="A28:H35" xr:uid="{BCBDA1CD-D1EA-4DB1-9BAD-4F1012766496}"/>
  <tableColumns count="8">
    <tableColumn id="1" xr3:uid="{AC41E5F8-0578-475B-8F99-4C11360C866D}" name="DATE" dataDxfId="14"/>
    <tableColumn id="2" xr3:uid="{61F00444-181D-4006-B02C-E5708AA9F349}" name="DAY" dataDxfId="13">
      <calculatedColumnFormula>DAY(A29)</calculatedColumnFormula>
    </tableColumn>
    <tableColumn id="3" xr3:uid="{4FD5C64B-C2FB-4950-AB09-1D1DD7031035}" name="MONTH" dataDxfId="12">
      <calculatedColumnFormula>MONTH(A29)</calculatedColumnFormula>
    </tableColumn>
    <tableColumn id="4" xr3:uid="{8F611EC6-1234-479B-8ABD-67E31FD39B3C}" name="YEAR" dataDxfId="11">
      <calculatedColumnFormula>YEAR(A29)</calculatedColumnFormula>
    </tableColumn>
    <tableColumn id="5" xr3:uid="{DCAA8A00-D3AE-40BE-BADB-507782CE535A}" name="WEEKDAY" dataDxfId="10"/>
    <tableColumn id="6" xr3:uid="{3C1F1A1E-51B7-4AC1-BF3D-11C15EB31BF9}" name="WEEKNUM" dataDxfId="9">
      <calculatedColumnFormula>WEEKNUM(A29)</calculatedColumnFormula>
    </tableColumn>
    <tableColumn id="7" xr3:uid="{EA4F2E62-1A3D-4373-9002-2DCB45D6BA73}" name="MONTH NAME" dataDxfId="8"/>
    <tableColumn id="8" xr3:uid="{D58BD256-72E9-42AC-A25E-BDB5497659F2}" name="DAY NAME" dataDxfId="7">
      <calculatedColumnFormula>TEXT(A29,"ddd")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D9D3F3-4479-4780-90BA-9EA59ED03211}" name="Table7" displayName="Table7" ref="A41:G50" totalsRowShown="0" headerRowDxfId="6">
  <autoFilter ref="A41:G50" xr:uid="{50D9D3F3-4479-4780-90BA-9EA59ED03211}"/>
  <tableColumns count="7">
    <tableColumn id="1" xr3:uid="{7EEE6F61-00A7-4DC7-BF57-C5D4732B19D8}" name="Employee"/>
    <tableColumn id="2" xr3:uid="{2B879807-7F1C-419C-B171-78D1F29BBFA0}" name="Join Date" dataDxfId="5"/>
    <tableColumn id="3" xr3:uid="{03FCD691-3C05-458C-825D-29FDC0F1CAF1}" name="Leave Start" dataDxfId="4"/>
    <tableColumn id="4" xr3:uid="{F4814DDF-7426-4297-ACFC-FC2522A0CFE2}" name="Leave End" dataDxfId="3"/>
    <tableColumn id="5" xr3:uid="{A970814E-5A66-44EF-B2D2-7F748B72FB33}" name="Experience(years)" dataDxfId="2"/>
    <tableColumn id="6" xr3:uid="{297B3765-1282-4588-82A1-A43C56470B88}" name="Review Date( 1 year later)" dataDxfId="1">
      <calculatedColumnFormula>EDATE(B42,12)</calculatedColumnFormula>
    </tableColumn>
    <tableColumn id="7" xr3:uid="{F059C6AE-A0F2-49E3-99D9-42E70975AD3C}" name="Working Days" dataDxfId="0">
      <calculatedColumnFormula>NETWORKDAYS(C42,D42)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3D86-F02D-4316-9515-5DED0DBBDE26}">
  <dimension ref="A1:EP50"/>
  <sheetViews>
    <sheetView tabSelected="1" workbookViewId="0">
      <selection activeCell="F55" sqref="F55"/>
    </sheetView>
  </sheetViews>
  <sheetFormatPr defaultRowHeight="15.05" x14ac:dyDescent="0.3"/>
  <cols>
    <col min="1" max="1" width="15.21875" bestFit="1" customWidth="1"/>
    <col min="2" max="2" width="14.6640625" bestFit="1" customWidth="1"/>
    <col min="3" max="3" width="16.5546875" bestFit="1" customWidth="1"/>
    <col min="4" max="4" width="15.44140625" bestFit="1" customWidth="1"/>
    <col min="5" max="5" width="23.5546875" bestFit="1" customWidth="1"/>
    <col min="6" max="6" width="42.109375" bestFit="1" customWidth="1"/>
    <col min="7" max="7" width="20.33203125" bestFit="1" customWidth="1"/>
    <col min="8" max="8" width="16.33203125" bestFit="1" customWidth="1"/>
    <col min="9" max="9" width="8.5546875" customWidth="1"/>
    <col min="10" max="10" width="11.5546875" bestFit="1" customWidth="1"/>
    <col min="11" max="11" width="12.21875" customWidth="1"/>
    <col min="12" max="12" width="15.44140625" customWidth="1"/>
    <col min="13" max="13" width="15.33203125" customWidth="1"/>
    <col min="14" max="14" width="11.44140625" bestFit="1" customWidth="1"/>
    <col min="15" max="15" width="12.6640625" customWidth="1"/>
    <col min="16" max="16" width="11.44140625" bestFit="1" customWidth="1"/>
    <col min="17" max="17" width="10.33203125" bestFit="1" customWidth="1"/>
    <col min="18" max="18" width="8" bestFit="1" customWidth="1"/>
  </cols>
  <sheetData>
    <row r="1" spans="1:18" ht="23.8" x14ac:dyDescent="0.45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17"/>
    </row>
    <row r="3" spans="1:18" ht="21.3" x14ac:dyDescent="0.4">
      <c r="A3" s="16" t="s">
        <v>14</v>
      </c>
      <c r="B3" s="16"/>
      <c r="D3" s="16" t="s">
        <v>13</v>
      </c>
      <c r="E3" s="16"/>
      <c r="G3" s="16" t="s">
        <v>18</v>
      </c>
      <c r="H3" s="16"/>
      <c r="I3" s="16"/>
      <c r="J3" s="16"/>
      <c r="K3" s="1"/>
      <c r="L3" s="16" t="s">
        <v>19</v>
      </c>
      <c r="M3" s="16"/>
      <c r="O3" s="16" t="s">
        <v>20</v>
      </c>
      <c r="P3" s="16"/>
    </row>
    <row r="5" spans="1:18" ht="18.2" x14ac:dyDescent="0.35">
      <c r="A5" s="2" t="s">
        <v>9</v>
      </c>
      <c r="B5" s="2" t="s">
        <v>10</v>
      </c>
      <c r="D5" s="2" t="s">
        <v>9</v>
      </c>
      <c r="E5" s="2" t="s">
        <v>10</v>
      </c>
      <c r="G5" s="2" t="s">
        <v>0</v>
      </c>
      <c r="H5" s="2" t="s">
        <v>15</v>
      </c>
      <c r="I5" s="2" t="s">
        <v>16</v>
      </c>
      <c r="J5" s="2" t="s">
        <v>1</v>
      </c>
      <c r="L5" s="2" t="s">
        <v>26</v>
      </c>
      <c r="M5" s="2" t="s">
        <v>1</v>
      </c>
      <c r="O5" s="2" t="s">
        <v>26</v>
      </c>
      <c r="P5" s="2" t="s">
        <v>1</v>
      </c>
    </row>
    <row r="6" spans="1:18" x14ac:dyDescent="0.3">
      <c r="L6" s="10"/>
      <c r="M6" s="1"/>
    </row>
    <row r="7" spans="1:18" ht="15.65" x14ac:dyDescent="0.3">
      <c r="A7" s="6" t="s">
        <v>11</v>
      </c>
      <c r="B7" s="5" t="s">
        <v>14</v>
      </c>
      <c r="D7" s="6" t="s">
        <v>11</v>
      </c>
      <c r="E7" s="1" t="s">
        <v>13</v>
      </c>
      <c r="G7" s="3">
        <v>2026</v>
      </c>
      <c r="H7" s="9">
        <v>7</v>
      </c>
      <c r="I7">
        <v>13</v>
      </c>
      <c r="J7" s="5">
        <f>DATE(G7,H7,I7)</f>
        <v>46216</v>
      </c>
      <c r="L7" s="10">
        <v>39643</v>
      </c>
      <c r="M7" s="1">
        <f>DAY(L7)</f>
        <v>14</v>
      </c>
      <c r="O7" s="10">
        <v>39643</v>
      </c>
      <c r="P7" s="1">
        <f>MONTH(O7)</f>
        <v>7</v>
      </c>
    </row>
    <row r="8" spans="1:18" ht="15.65" x14ac:dyDescent="0.3">
      <c r="A8" s="6" t="s">
        <v>12</v>
      </c>
      <c r="B8" s="5">
        <f ca="1">TODAY()</f>
        <v>46218</v>
      </c>
      <c r="D8" s="6" t="s">
        <v>12</v>
      </c>
      <c r="E8" s="8">
        <f ca="1">NOW()</f>
        <v>46218.672822453707</v>
      </c>
      <c r="G8" s="3">
        <v>2024</v>
      </c>
      <c r="H8">
        <v>8</v>
      </c>
      <c r="I8">
        <v>12</v>
      </c>
      <c r="J8" s="4">
        <f>DATE(G8,H8,I8)</f>
        <v>45516</v>
      </c>
      <c r="L8" s="10">
        <v>38698</v>
      </c>
      <c r="M8" s="1">
        <f>DAY(L8)</f>
        <v>12</v>
      </c>
      <c r="O8" s="10">
        <v>37873</v>
      </c>
      <c r="P8" s="1">
        <f>MONTH(O8)</f>
        <v>9</v>
      </c>
    </row>
    <row r="10" spans="1:18" ht="21.3" x14ac:dyDescent="0.4">
      <c r="A10" s="16" t="s">
        <v>21</v>
      </c>
      <c r="B10" s="16"/>
      <c r="D10" s="16" t="s">
        <v>22</v>
      </c>
      <c r="E10" s="16"/>
      <c r="G10" s="16" t="s">
        <v>23</v>
      </c>
      <c r="H10" s="16"/>
      <c r="J10" s="16" t="s">
        <v>24</v>
      </c>
      <c r="K10" s="16"/>
      <c r="M10" s="16" t="s">
        <v>25</v>
      </c>
      <c r="N10" s="16"/>
      <c r="P10" s="16" t="s">
        <v>27</v>
      </c>
      <c r="Q10" s="16"/>
    </row>
    <row r="12" spans="1:18" ht="18.2" x14ac:dyDescent="0.35">
      <c r="A12" s="2" t="s">
        <v>26</v>
      </c>
      <c r="B12" s="2" t="s">
        <v>1</v>
      </c>
      <c r="D12" s="2" t="s">
        <v>26</v>
      </c>
      <c r="E12" s="2" t="s">
        <v>1</v>
      </c>
      <c r="G12" s="2" t="s">
        <v>26</v>
      </c>
      <c r="H12" s="2" t="s">
        <v>1</v>
      </c>
      <c r="I12" s="2"/>
      <c r="J12" s="2" t="s">
        <v>26</v>
      </c>
      <c r="K12" s="2" t="s">
        <v>1</v>
      </c>
      <c r="M12" s="2" t="s">
        <v>26</v>
      </c>
      <c r="N12" s="2" t="s">
        <v>1</v>
      </c>
      <c r="P12" s="2" t="s">
        <v>28</v>
      </c>
      <c r="Q12" s="2" t="s">
        <v>29</v>
      </c>
      <c r="R12" s="2" t="s">
        <v>30</v>
      </c>
    </row>
    <row r="13" spans="1:18" x14ac:dyDescent="0.3">
      <c r="G13" s="11"/>
      <c r="H13" s="9"/>
      <c r="I13" s="1"/>
      <c r="J13" s="1"/>
    </row>
    <row r="14" spans="1:18" x14ac:dyDescent="0.3">
      <c r="A14" s="10">
        <v>37994</v>
      </c>
      <c r="B14" s="1">
        <f>YEAR(A14)</f>
        <v>2004</v>
      </c>
      <c r="D14" s="10">
        <v>38643</v>
      </c>
      <c r="E14">
        <f>WEEKDAY(D14)</f>
        <v>3</v>
      </c>
      <c r="G14" s="10">
        <v>38698</v>
      </c>
      <c r="H14" s="9">
        <f>WEEKNUM(G14)</f>
        <v>51</v>
      </c>
      <c r="I14" s="1"/>
      <c r="J14" s="10">
        <v>46217</v>
      </c>
      <c r="K14" s="12">
        <f>EDATE(J14,12)</f>
        <v>46582</v>
      </c>
      <c r="M14" s="4">
        <v>46217</v>
      </c>
      <c r="N14" s="4">
        <f>EOMONTH(M14,0)</f>
        <v>46234</v>
      </c>
      <c r="P14" s="4">
        <v>38698</v>
      </c>
      <c r="Q14" s="4">
        <f ca="1">TODAY()</f>
        <v>46218</v>
      </c>
      <c r="R14">
        <f ca="1">DATEDIF(P14,Q14,"d")</f>
        <v>7520</v>
      </c>
    </row>
    <row r="15" spans="1:18" x14ac:dyDescent="0.3">
      <c r="A15" s="10">
        <v>38842</v>
      </c>
      <c r="B15" s="1">
        <f>YEAR(A15)</f>
        <v>2006</v>
      </c>
      <c r="D15" s="10">
        <v>46216</v>
      </c>
      <c r="E15">
        <f>WEEKDAY(D15)</f>
        <v>2</v>
      </c>
      <c r="G15" s="4">
        <v>31871</v>
      </c>
      <c r="H15">
        <f>WEEKNUM(G15)</f>
        <v>14</v>
      </c>
      <c r="J15" s="4">
        <v>39907</v>
      </c>
      <c r="K15" s="4">
        <f>EDATE(J15,8)</f>
        <v>40151</v>
      </c>
      <c r="M15" s="4">
        <v>42225</v>
      </c>
      <c r="N15" s="12">
        <f>EOMONTH(M15,-1)</f>
        <v>42216</v>
      </c>
      <c r="P15" s="4">
        <v>38661</v>
      </c>
      <c r="Q15" s="4">
        <f ca="1">TODAY()</f>
        <v>46218</v>
      </c>
      <c r="R15">
        <f ca="1">DATEDIF(P15,Q15,"D")</f>
        <v>7557</v>
      </c>
    </row>
    <row r="17" spans="1:146" ht="21.3" x14ac:dyDescent="0.4">
      <c r="A17" s="16" t="s">
        <v>31</v>
      </c>
      <c r="B17" s="16"/>
      <c r="C17" s="16"/>
      <c r="E17" s="16" t="s">
        <v>33</v>
      </c>
      <c r="F17" s="16"/>
    </row>
    <row r="19" spans="1:146" ht="18.2" x14ac:dyDescent="0.35">
      <c r="A19" s="2" t="s">
        <v>28</v>
      </c>
      <c r="B19" s="2" t="s">
        <v>29</v>
      </c>
      <c r="C19" s="2" t="s">
        <v>32</v>
      </c>
      <c r="E19" s="2" t="s">
        <v>28</v>
      </c>
      <c r="F19" s="2" t="s">
        <v>1</v>
      </c>
    </row>
    <row r="21" spans="1:146" x14ac:dyDescent="0.3">
      <c r="A21" s="4">
        <v>46204</v>
      </c>
      <c r="B21" s="4">
        <v>46234</v>
      </c>
      <c r="C21" s="1">
        <f>NETWORKDAYS(A21,B21)</f>
        <v>23</v>
      </c>
      <c r="E21" s="10">
        <v>46234</v>
      </c>
      <c r="F21" s="12">
        <f>WORKDAY(E21,10)</f>
        <v>46248</v>
      </c>
    </row>
    <row r="22" spans="1:146" x14ac:dyDescent="0.3">
      <c r="A22" s="4">
        <v>38921</v>
      </c>
      <c r="B22" s="4">
        <f ca="1">TODAY()</f>
        <v>46218</v>
      </c>
      <c r="C22" s="1">
        <f ca="1">NETWORKDAYS(A22,B22)</f>
        <v>5213</v>
      </c>
      <c r="E22" s="10">
        <v>46204</v>
      </c>
      <c r="F22" s="12">
        <f>WORKDAY(E22,30)</f>
        <v>46246</v>
      </c>
    </row>
    <row r="23" spans="1:146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</row>
    <row r="24" spans="1:146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</row>
    <row r="25" spans="1:146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</row>
    <row r="26" spans="1:146" ht="21.3" x14ac:dyDescent="0.4">
      <c r="A26" s="16" t="s">
        <v>34</v>
      </c>
      <c r="B26" s="16"/>
      <c r="C26" s="16"/>
      <c r="D26" s="16"/>
      <c r="E26" s="16"/>
    </row>
    <row r="28" spans="1:146" ht="18.2" x14ac:dyDescent="0.35">
      <c r="A28" s="7" t="s">
        <v>35</v>
      </c>
      <c r="B28" s="7" t="s">
        <v>36</v>
      </c>
      <c r="C28" s="7" t="s">
        <v>37</v>
      </c>
      <c r="D28" s="7" t="s">
        <v>38</v>
      </c>
      <c r="E28" s="7" t="s">
        <v>39</v>
      </c>
      <c r="F28" s="7" t="s">
        <v>40</v>
      </c>
      <c r="G28" s="7" t="s">
        <v>41</v>
      </c>
      <c r="H28" s="7" t="s">
        <v>42</v>
      </c>
    </row>
    <row r="30" spans="1:146" x14ac:dyDescent="0.3">
      <c r="A30" s="10">
        <v>38698</v>
      </c>
      <c r="B30" s="1">
        <f t="shared" ref="B30:B35" si="0">DAY(A30)</f>
        <v>12</v>
      </c>
      <c r="C30" s="1">
        <f t="shared" ref="C30:C35" si="1">MONTH(A30)</f>
        <v>12</v>
      </c>
      <c r="D30" s="1">
        <f t="shared" ref="D30:D35" si="2">YEAR(A30)</f>
        <v>2005</v>
      </c>
      <c r="E30" s="1">
        <f>WEEKDAY(A30)</f>
        <v>2</v>
      </c>
      <c r="F30" s="1">
        <f>WEEKNUM(A30,1)</f>
        <v>51</v>
      </c>
      <c r="G30" s="13" t="str">
        <f>TEXT(A30,"mmm")</f>
        <v>Dec</v>
      </c>
      <c r="H30" s="1" t="str">
        <f t="shared" ref="H30:H35" si="3">TEXT(A30,"ddd")</f>
        <v>Mon</v>
      </c>
    </row>
    <row r="31" spans="1:146" x14ac:dyDescent="0.3">
      <c r="A31" s="10">
        <v>38644</v>
      </c>
      <c r="B31" s="1">
        <f t="shared" si="0"/>
        <v>19</v>
      </c>
      <c r="C31" s="1">
        <f t="shared" si="1"/>
        <v>10</v>
      </c>
      <c r="D31" s="1">
        <f t="shared" si="2"/>
        <v>2005</v>
      </c>
      <c r="E31" s="1">
        <f>WEEKDAY(A31,1)</f>
        <v>4</v>
      </c>
      <c r="F31" s="1">
        <f>WEEKNUM(A31)</f>
        <v>43</v>
      </c>
      <c r="G31" s="14" t="str">
        <f>TEXT(A31,"mmm")</f>
        <v>Oct</v>
      </c>
      <c r="H31" s="1" t="str">
        <f t="shared" si="3"/>
        <v>Wed</v>
      </c>
    </row>
    <row r="32" spans="1:146" x14ac:dyDescent="0.3">
      <c r="A32" s="10">
        <v>38842</v>
      </c>
      <c r="B32" s="1">
        <f t="shared" si="0"/>
        <v>5</v>
      </c>
      <c r="C32" s="1">
        <f t="shared" si="1"/>
        <v>5</v>
      </c>
      <c r="D32" s="1">
        <f t="shared" si="2"/>
        <v>2006</v>
      </c>
      <c r="E32" s="1">
        <f>WEEKDAY(A32)</f>
        <v>6</v>
      </c>
      <c r="F32" s="1">
        <f>WEEKNUM(A32)</f>
        <v>18</v>
      </c>
      <c r="G32" s="14" t="str">
        <f>TEXT(A32,"mmm")</f>
        <v>May</v>
      </c>
      <c r="H32" s="1" t="str">
        <f t="shared" si="3"/>
        <v>Fri</v>
      </c>
    </row>
    <row r="33" spans="1:40" x14ac:dyDescent="0.3">
      <c r="A33" s="10">
        <v>38862</v>
      </c>
      <c r="B33" s="1">
        <f t="shared" si="0"/>
        <v>25</v>
      </c>
      <c r="C33" s="1">
        <f t="shared" si="1"/>
        <v>5</v>
      </c>
      <c r="D33" s="1">
        <f t="shared" si="2"/>
        <v>2006</v>
      </c>
      <c r="E33" s="1">
        <f>WEEKDAY(A33)</f>
        <v>5</v>
      </c>
      <c r="F33" s="1">
        <f>WEEKNUM(A33)</f>
        <v>21</v>
      </c>
      <c r="G33" s="14" t="str">
        <f>TEXT(A33,"mmm")</f>
        <v>May</v>
      </c>
      <c r="H33" s="1" t="str">
        <f t="shared" si="3"/>
        <v>Thu</v>
      </c>
    </row>
    <row r="34" spans="1:40" x14ac:dyDescent="0.3">
      <c r="A34" s="10">
        <v>38764</v>
      </c>
      <c r="B34" s="1">
        <f t="shared" si="0"/>
        <v>16</v>
      </c>
      <c r="C34" s="1">
        <f t="shared" si="1"/>
        <v>2</v>
      </c>
      <c r="D34" s="1">
        <f t="shared" si="2"/>
        <v>2006</v>
      </c>
      <c r="E34" s="1">
        <f>WEEKDAY(A34)</f>
        <v>5</v>
      </c>
      <c r="F34" s="1">
        <f>WEEKNUM(A34)</f>
        <v>7</v>
      </c>
      <c r="G34" s="14" t="str">
        <f>TEXT(A34,"mmm")</f>
        <v>Feb</v>
      </c>
      <c r="H34" s="1" t="str">
        <f t="shared" si="3"/>
        <v>Thu</v>
      </c>
    </row>
    <row r="35" spans="1:40" x14ac:dyDescent="0.3">
      <c r="A35" s="10">
        <v>38906</v>
      </c>
      <c r="B35" s="1">
        <f t="shared" si="0"/>
        <v>8</v>
      </c>
      <c r="C35" s="1">
        <f t="shared" si="1"/>
        <v>7</v>
      </c>
      <c r="D35" s="1">
        <f t="shared" si="2"/>
        <v>2006</v>
      </c>
      <c r="E35" s="1">
        <f>WEEKDAY(A35,1)</f>
        <v>7</v>
      </c>
      <c r="F35" s="1">
        <f>WEEKNUM(A35)</f>
        <v>27</v>
      </c>
      <c r="G35" s="14" t="str">
        <f>TEXT(A35,"mmmm")</f>
        <v>July</v>
      </c>
      <c r="H35" s="1" t="str">
        <f t="shared" si="3"/>
        <v>Sat</v>
      </c>
    </row>
    <row r="36" spans="1:4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 spans="1:4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spans="1:4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 spans="1:40" ht="21.3" x14ac:dyDescent="0.4">
      <c r="A39" s="16" t="s">
        <v>43</v>
      </c>
      <c r="B39" s="16"/>
      <c r="C39" s="16"/>
      <c r="D39" s="16"/>
      <c r="E39" s="16"/>
    </row>
    <row r="41" spans="1:40" ht="18.2" x14ac:dyDescent="0.35">
      <c r="A41" s="2" t="s">
        <v>44</v>
      </c>
      <c r="B41" s="2" t="s">
        <v>45</v>
      </c>
      <c r="C41" s="2" t="s">
        <v>46</v>
      </c>
      <c r="D41" s="2" t="s">
        <v>47</v>
      </c>
      <c r="E41" s="2" t="s">
        <v>48</v>
      </c>
      <c r="F41" s="2" t="s">
        <v>50</v>
      </c>
      <c r="G41" s="2" t="s">
        <v>32</v>
      </c>
    </row>
    <row r="43" spans="1:40" ht="15.65" x14ac:dyDescent="0.3">
      <c r="A43" s="3" t="s">
        <v>2</v>
      </c>
      <c r="B43" s="10">
        <v>43813</v>
      </c>
      <c r="C43" s="10">
        <v>46216</v>
      </c>
      <c r="D43" s="10">
        <v>46318</v>
      </c>
      <c r="E43" s="1">
        <f t="shared" ref="E43:E49" ca="1" si="4">DATEDIF(B43,TODAY(),"Y")</f>
        <v>6</v>
      </c>
      <c r="F43" s="5">
        <f t="shared" ref="F43:F50" si="5">EDATE(B43,12)</f>
        <v>44179</v>
      </c>
      <c r="G43" s="1">
        <f>NETWORKDAYS(C43,D43,)</f>
        <v>75</v>
      </c>
    </row>
    <row r="44" spans="1:40" x14ac:dyDescent="0.3">
      <c r="A44" t="s">
        <v>3</v>
      </c>
      <c r="B44" s="10">
        <v>43081</v>
      </c>
      <c r="C44" s="10">
        <v>46218</v>
      </c>
      <c r="D44" s="10">
        <v>46270</v>
      </c>
      <c r="E44" s="1">
        <f t="shared" ca="1" si="4"/>
        <v>8</v>
      </c>
      <c r="F44" s="5">
        <f t="shared" si="5"/>
        <v>43446</v>
      </c>
      <c r="G44" s="1">
        <f t="shared" ref="G44:G50" si="6">NETWORKDAYS(C44,D44)</f>
        <v>38</v>
      </c>
    </row>
    <row r="45" spans="1:40" x14ac:dyDescent="0.3">
      <c r="A45" t="s">
        <v>4</v>
      </c>
      <c r="B45" s="10">
        <v>42153</v>
      </c>
      <c r="C45" s="10">
        <v>46164</v>
      </c>
      <c r="D45" s="10">
        <v>46182</v>
      </c>
      <c r="E45" s="1">
        <f t="shared" ca="1" si="4"/>
        <v>11</v>
      </c>
      <c r="F45" s="5">
        <f t="shared" si="5"/>
        <v>42519</v>
      </c>
      <c r="G45" s="1">
        <f t="shared" si="6"/>
        <v>13</v>
      </c>
    </row>
    <row r="46" spans="1:40" x14ac:dyDescent="0.3">
      <c r="A46" t="s">
        <v>6</v>
      </c>
      <c r="B46" s="10">
        <v>41673</v>
      </c>
      <c r="C46" s="10">
        <v>46097</v>
      </c>
      <c r="D46" s="10">
        <v>46354</v>
      </c>
      <c r="E46" s="1">
        <f t="shared" ca="1" si="4"/>
        <v>12</v>
      </c>
      <c r="F46" s="5">
        <f t="shared" si="5"/>
        <v>42038</v>
      </c>
      <c r="G46" s="1">
        <f t="shared" si="6"/>
        <v>185</v>
      </c>
    </row>
    <row r="47" spans="1:40" x14ac:dyDescent="0.3">
      <c r="A47" t="s">
        <v>7</v>
      </c>
      <c r="B47" s="10">
        <v>45129</v>
      </c>
      <c r="C47" s="10">
        <v>46378</v>
      </c>
      <c r="D47" s="10">
        <v>46420</v>
      </c>
      <c r="E47" s="1">
        <f t="shared" ca="1" si="4"/>
        <v>2</v>
      </c>
      <c r="F47" s="5">
        <f t="shared" si="5"/>
        <v>45495</v>
      </c>
      <c r="G47" s="1">
        <f t="shared" si="6"/>
        <v>31</v>
      </c>
    </row>
    <row r="48" spans="1:40" x14ac:dyDescent="0.3">
      <c r="A48" t="s">
        <v>8</v>
      </c>
      <c r="B48" s="10">
        <v>45199</v>
      </c>
      <c r="C48" s="10">
        <v>46409</v>
      </c>
      <c r="D48" s="10">
        <v>46476</v>
      </c>
      <c r="E48" s="1">
        <f t="shared" ca="1" si="4"/>
        <v>2</v>
      </c>
      <c r="F48" s="5">
        <f t="shared" si="5"/>
        <v>45565</v>
      </c>
      <c r="G48" s="1">
        <f t="shared" si="6"/>
        <v>48</v>
      </c>
    </row>
    <row r="49" spans="1:7" x14ac:dyDescent="0.3">
      <c r="A49" t="s">
        <v>49</v>
      </c>
      <c r="B49" s="10">
        <v>43857</v>
      </c>
      <c r="C49" s="10">
        <v>46209</v>
      </c>
      <c r="D49" s="10">
        <v>46271</v>
      </c>
      <c r="E49" s="1">
        <f t="shared" ca="1" si="4"/>
        <v>6</v>
      </c>
      <c r="F49" s="5">
        <f t="shared" si="5"/>
        <v>44223</v>
      </c>
      <c r="G49" s="1">
        <f t="shared" si="6"/>
        <v>45</v>
      </c>
    </row>
    <row r="50" spans="1:7" x14ac:dyDescent="0.3">
      <c r="A50" t="s">
        <v>5</v>
      </c>
      <c r="B50" s="10">
        <v>45729</v>
      </c>
      <c r="C50" s="10">
        <v>46023</v>
      </c>
      <c r="D50" s="10">
        <v>46136</v>
      </c>
      <c r="E50" s="1">
        <f ca="1">DATEDIF(B50,TODAY(),"y")</f>
        <v>1</v>
      </c>
      <c r="F50" s="5">
        <f t="shared" si="5"/>
        <v>46094</v>
      </c>
      <c r="G50" s="1">
        <f t="shared" si="6"/>
        <v>82</v>
      </c>
    </row>
  </sheetData>
  <mergeCells count="18">
    <mergeCell ref="L3:M3"/>
    <mergeCell ref="O3:P3"/>
    <mergeCell ref="A10:B10"/>
    <mergeCell ref="D10:E10"/>
    <mergeCell ref="G10:H10"/>
    <mergeCell ref="M10:N10"/>
    <mergeCell ref="P10:Q10"/>
    <mergeCell ref="A1:J1"/>
    <mergeCell ref="A3:B3"/>
    <mergeCell ref="D3:E3"/>
    <mergeCell ref="G3:J3"/>
    <mergeCell ref="J10:K10"/>
    <mergeCell ref="A36:AN38"/>
    <mergeCell ref="A39:E39"/>
    <mergeCell ref="A23:EP25"/>
    <mergeCell ref="A26:E26"/>
    <mergeCell ref="A17:C17"/>
    <mergeCell ref="E17:F17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and Time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V</dc:creator>
  <cp:lastModifiedBy>Varunkumar V</cp:lastModifiedBy>
  <dcterms:created xsi:type="dcterms:W3CDTF">2026-07-08T11:52:28Z</dcterms:created>
  <dcterms:modified xsi:type="dcterms:W3CDTF">2026-07-15T10:43:47Z</dcterms:modified>
</cp:coreProperties>
</file>