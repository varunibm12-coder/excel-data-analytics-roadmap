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260" documentId="8_{A0F1CC25-DE91-4020-8628-1579B6FA9E33}" xr6:coauthVersionLast="47" xr6:coauthVersionMax="47" xr10:uidLastSave="{4862838E-6EBC-4917-BB0F-D983DD4F1F74}"/>
  <bookViews>
    <workbookView xWindow="-113" yWindow="-113" windowWidth="24267" windowHeight="13023" activeTab="1" xr2:uid="{5CF4836D-4991-4EFD-BDE9-A265D6572409}"/>
  </bookViews>
  <sheets>
    <sheet name="Student Database" sheetId="1" r:id="rId1"/>
    <sheet name="Analy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9" i="2"/>
  <c r="B6" i="2"/>
  <c r="B5" i="2"/>
  <c r="K2" i="1"/>
  <c r="B8" i="2"/>
  <c r="B7" i="2"/>
  <c r="P21" i="1"/>
  <c r="N21" i="1"/>
  <c r="L21" i="1"/>
  <c r="K21" i="1"/>
  <c r="P20" i="1"/>
  <c r="N20" i="1"/>
  <c r="L20" i="1"/>
  <c r="K20" i="1"/>
  <c r="P19" i="1"/>
  <c r="N19" i="1"/>
  <c r="L19" i="1"/>
  <c r="K19" i="1"/>
  <c r="P18" i="1"/>
  <c r="N18" i="1"/>
  <c r="L18" i="1"/>
  <c r="K18" i="1"/>
  <c r="P17" i="1"/>
  <c r="N17" i="1"/>
  <c r="L17" i="1"/>
  <c r="K17" i="1"/>
  <c r="P16" i="1"/>
  <c r="N16" i="1"/>
  <c r="L16" i="1"/>
  <c r="K16" i="1"/>
  <c r="P15" i="1"/>
  <c r="N15" i="1"/>
  <c r="L15" i="1"/>
  <c r="K15" i="1"/>
  <c r="P14" i="1"/>
  <c r="N14" i="1"/>
  <c r="L14" i="1"/>
  <c r="K14" i="1"/>
  <c r="P13" i="1"/>
  <c r="N13" i="1"/>
  <c r="L13" i="1"/>
  <c r="K13" i="1"/>
  <c r="P12" i="1"/>
  <c r="N12" i="1"/>
  <c r="L12" i="1"/>
  <c r="K12" i="1"/>
  <c r="P11" i="1"/>
  <c r="N11" i="1"/>
  <c r="L11" i="1"/>
  <c r="K11" i="1"/>
  <c r="P10" i="1"/>
  <c r="N10" i="1"/>
  <c r="L10" i="1"/>
  <c r="K10" i="1"/>
  <c r="P9" i="1"/>
  <c r="N9" i="1"/>
  <c r="L9" i="1"/>
  <c r="K9" i="1"/>
  <c r="P8" i="1"/>
  <c r="N8" i="1"/>
  <c r="L8" i="1"/>
  <c r="K8" i="1"/>
  <c r="P7" i="1"/>
  <c r="N7" i="1"/>
  <c r="L7" i="1"/>
  <c r="K7" i="1"/>
  <c r="P6" i="1"/>
  <c r="N6" i="1"/>
  <c r="L6" i="1"/>
  <c r="K6" i="1"/>
  <c r="O6" i="1" s="1"/>
  <c r="P5" i="1"/>
  <c r="N5" i="1"/>
  <c r="L5" i="1"/>
  <c r="K5" i="1"/>
  <c r="P4" i="1"/>
  <c r="N4" i="1"/>
  <c r="L4" i="1"/>
  <c r="K4" i="1"/>
  <c r="M3" i="1"/>
  <c r="P3" i="1" s="1"/>
  <c r="L3" i="1"/>
  <c r="K3" i="1"/>
  <c r="M2" i="1"/>
  <c r="N2" i="1" s="1"/>
  <c r="L2" i="1"/>
  <c r="O8" i="1" l="1"/>
  <c r="P2" i="1"/>
  <c r="O21" i="1"/>
  <c r="O20" i="1"/>
  <c r="O9" i="1"/>
  <c r="O15" i="1"/>
  <c r="O18" i="1"/>
  <c r="O14" i="1"/>
  <c r="O4" i="1"/>
  <c r="O10" i="1"/>
  <c r="O13" i="1"/>
  <c r="O16" i="1"/>
  <c r="O11" i="1"/>
  <c r="O2" i="1"/>
  <c r="O5" i="1"/>
  <c r="O19" i="1"/>
  <c r="O7" i="1"/>
  <c r="O12" i="1"/>
  <c r="O17" i="1"/>
  <c r="N3" i="1"/>
  <c r="O3" i="1"/>
</calcChain>
</file>

<file path=xl/sharedStrings.xml><?xml version="1.0" encoding="utf-8"?>
<sst xmlns="http://schemas.openxmlformats.org/spreadsheetml/2006/main" count="122" uniqueCount="90">
  <si>
    <t>S.no</t>
  </si>
  <si>
    <t>Name</t>
  </si>
  <si>
    <t>Reg.No</t>
  </si>
  <si>
    <t>Department</t>
  </si>
  <si>
    <t>Year</t>
  </si>
  <si>
    <t>Sub 1</t>
  </si>
  <si>
    <t>Sub 2</t>
  </si>
  <si>
    <t>Sub 3</t>
  </si>
  <si>
    <t>Sub 4</t>
  </si>
  <si>
    <t>Sub 5</t>
  </si>
  <si>
    <t>Total</t>
  </si>
  <si>
    <t>AVG</t>
  </si>
  <si>
    <t>%</t>
  </si>
  <si>
    <t>Grade</t>
  </si>
  <si>
    <t>Rank</t>
  </si>
  <si>
    <t>Result</t>
  </si>
  <si>
    <t>Varun</t>
  </si>
  <si>
    <t>IV</t>
  </si>
  <si>
    <t>varun@gmail.com</t>
  </si>
  <si>
    <t>Rekish</t>
  </si>
  <si>
    <t>III</t>
  </si>
  <si>
    <t>rekish@gmail.com</t>
  </si>
  <si>
    <t>Ajay</t>
  </si>
  <si>
    <t>ajay@gmail.com</t>
  </si>
  <si>
    <t>Sarath</t>
  </si>
  <si>
    <t>sarath@gmail.com</t>
  </si>
  <si>
    <t>Apsal</t>
  </si>
  <si>
    <t>apsal@gmail.com</t>
  </si>
  <si>
    <t>Seeman</t>
  </si>
  <si>
    <t>seeman@gmail.com</t>
  </si>
  <si>
    <t>Sarithan</t>
  </si>
  <si>
    <t>Nithya</t>
  </si>
  <si>
    <t>Dhanusha</t>
  </si>
  <si>
    <t>dhanusha@gmail.com</t>
  </si>
  <si>
    <t>Srinath</t>
  </si>
  <si>
    <t>II</t>
  </si>
  <si>
    <t>srinath@gmail.com</t>
  </si>
  <si>
    <t>Satish</t>
  </si>
  <si>
    <t>satish@gmail.com</t>
  </si>
  <si>
    <t>Sham</t>
  </si>
  <si>
    <t>sham@gmail.com</t>
  </si>
  <si>
    <t>Rahul</t>
  </si>
  <si>
    <t>I</t>
  </si>
  <si>
    <t>rahul@gmail.com</t>
  </si>
  <si>
    <t>Surendhar</t>
  </si>
  <si>
    <t>surendhar@gmail.com</t>
  </si>
  <si>
    <t>Vijay</t>
  </si>
  <si>
    <t>vijay@gmail.com</t>
  </si>
  <si>
    <t>Ajith</t>
  </si>
  <si>
    <t>ajith@gmail.com</t>
  </si>
  <si>
    <t>Red</t>
  </si>
  <si>
    <t>red@gmail.com</t>
  </si>
  <si>
    <t>Paari</t>
  </si>
  <si>
    <t>paari@gmail.com</t>
  </si>
  <si>
    <t>Jeya</t>
  </si>
  <si>
    <t>jeya@gmail.com</t>
  </si>
  <si>
    <t>Anushka</t>
  </si>
  <si>
    <t>anushka@gmail.com</t>
  </si>
  <si>
    <t>Metric</t>
  </si>
  <si>
    <t>Total Students</t>
  </si>
  <si>
    <t>CSE Students</t>
  </si>
  <si>
    <t>IT Students</t>
  </si>
  <si>
    <t>EEE</t>
  </si>
  <si>
    <t>ECE</t>
  </si>
  <si>
    <t>CSE</t>
  </si>
  <si>
    <t>MECH</t>
  </si>
  <si>
    <t>IT</t>
  </si>
  <si>
    <t>ECE Students</t>
  </si>
  <si>
    <t>Students above 90%</t>
  </si>
  <si>
    <t>Students between 80% - 90%</t>
  </si>
  <si>
    <t>Failed Students</t>
  </si>
  <si>
    <t>Highest Percentage</t>
  </si>
  <si>
    <t>Lowest Percentage</t>
  </si>
  <si>
    <t>Second Highest Percentage</t>
  </si>
  <si>
    <t>Third Lowest Percentage</t>
  </si>
  <si>
    <t>Total Marks(CSE)</t>
  </si>
  <si>
    <t>Total Marks(IT)</t>
  </si>
  <si>
    <t xml:space="preserve"> CSE Students above 90%</t>
  </si>
  <si>
    <t>Total Marks(CSE&gt;90%)</t>
  </si>
  <si>
    <t>STUDENTS ANALYTICS REPORT:</t>
  </si>
  <si>
    <t>Value</t>
  </si>
  <si>
    <t>Column1</t>
  </si>
  <si>
    <t>sarithan@gmail.com</t>
  </si>
  <si>
    <t>nithya@gmail.com</t>
  </si>
  <si>
    <t>Column2</t>
  </si>
  <si>
    <t>Average Percentage</t>
  </si>
  <si>
    <t>Maximum Total Marks</t>
  </si>
  <si>
    <t>Minimum Total Marks</t>
  </si>
  <si>
    <t>Pass Percentage</t>
  </si>
  <si>
    <t>Fail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</si>
</sst>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9" fontId="5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55A74-9FD5-4C5B-897F-6E59C216E34D}" name="Table1" displayName="Table1" ref="A1:Q21" totalsRowShown="0" headerRowDxfId="19">
  <autoFilter ref="A1:Q21" xr:uid="{21C55A74-9FD5-4C5B-897F-6E59C216E34D}"/>
  <tableColumns count="17">
    <tableColumn id="1" xr3:uid="{206B45BD-EA34-4B73-A08B-E41450F94326}" name="S.no" dataDxfId="18"/>
    <tableColumn id="2" xr3:uid="{2B5C1B9C-CDA9-43DB-A576-7889E0C88F33}" name="Name" dataDxfId="17"/>
    <tableColumn id="3" xr3:uid="{932DE561-FCFD-4DA7-ACEB-DAC21E55A161}" name="Reg.No" dataDxfId="16"/>
    <tableColumn id="4" xr3:uid="{FE7DF8A7-6A7B-4043-9A44-BA41A9749C1C}" name="Department" dataDxfId="15"/>
    <tableColumn id="5" xr3:uid="{965533D7-E9F9-483F-BCF0-3FF79DDBF9E6}" name="Year" dataDxfId="14"/>
    <tableColumn id="6" xr3:uid="{BE07ADA1-DEF0-46D7-9BD2-24B34CFFC8D8}" name="Sub 1" dataDxfId="13"/>
    <tableColumn id="7" xr3:uid="{0B1C16AD-7D73-45DB-AC46-9539D92FF50A}" name="Sub 2" dataDxfId="12"/>
    <tableColumn id="8" xr3:uid="{292279CA-CEFA-4F01-8CAA-9E2472104C1A}" name="Sub 3" dataDxfId="11"/>
    <tableColumn id="9" xr3:uid="{C7C07CA6-E352-4C2D-908D-9340AA1200A6}" name="Sub 4" dataDxfId="10"/>
    <tableColumn id="10" xr3:uid="{AD29C320-FAA6-4BB3-99ED-ACA709F63B85}" name="Sub 5" dataDxfId="9"/>
    <tableColumn id="11" xr3:uid="{5C84A52E-99C3-4E32-8CD3-520892F0ED26}" name="Total" dataDxfId="8">
      <calculatedColumnFormula>SUM(F2:J2)</calculatedColumnFormula>
    </tableColumn>
    <tableColumn id="12" xr3:uid="{CEF8F61D-88EB-43FE-A813-BD07EEC9E864}" name="AVG" dataDxfId="7">
      <calculatedColumnFormula>AVERAGE(F2:J2)</calculatedColumnFormula>
    </tableColumn>
    <tableColumn id="13" xr3:uid="{23A143F8-6122-4424-B4E9-61625053B0B8}" name="%" dataDxfId="6"/>
    <tableColumn id="14" xr3:uid="{61D98759-5A7B-4A18-8EE3-F7F4C2AA2581}" name="Grade" dataDxfId="5">
      <calculatedColumnFormula>IF(M2&gt;=90,"A+",IF(M2&gt;=80,"A",IF(M2&gt;=70,"B+",IF(M2&gt;=50,"B",IF(M2&gt;=40,"C",IF(M2&lt;40,"F"))))))</calculatedColumnFormula>
    </tableColumn>
    <tableColumn id="15" xr3:uid="{DAF43231-588F-44E1-B28F-22A292D3A881}" name="Rank" dataDxfId="4">
      <calculatedColumnFormula>RANK(K2,$K$2:$K$21,0)</calculatedColumnFormula>
    </tableColumn>
    <tableColumn id="16" xr3:uid="{CA5464A7-1095-4483-A7DB-6C9A4713E8DE}" name="Result" dataDxfId="3">
      <calculatedColumnFormula>IF(M2&gt;=40,"Pass","Fail")</calculatedColumnFormula>
    </tableColumn>
    <tableColumn id="17" xr3:uid="{C7E1BA87-3802-4B5C-8F2B-A678648C7938}" name="Column1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23141-294A-4773-8348-BBC8F14FB4BC}" name="Table2" displayName="Table2" ref="A1:C24" totalsRowShown="0" headerRowDxfId="23">
  <autoFilter ref="A1:C24" xr:uid="{9E023141-294A-4773-8348-BBC8F14FB4BC}"/>
  <tableColumns count="3">
    <tableColumn id="1" xr3:uid="{EC702816-5D4D-49F5-8737-CBDC8160E1F1}" name="STUDENTS ANALYTICS REPORT:" dataDxfId="22"/>
    <tableColumn id="2" xr3:uid="{A2E4B0D8-762C-480C-BB4D-DCC1DC451831}" name="Column1" dataDxfId="21"/>
    <tableColumn id="3" xr3:uid="{CAF09204-EDB7-43BD-8B1B-8836A0EBF992}" name="Column2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thya@gmail.com" TargetMode="External"/><Relationship Id="rId13" Type="http://schemas.openxmlformats.org/officeDocument/2006/relationships/hyperlink" Target="mailto:rahul@gmail.com" TargetMode="External"/><Relationship Id="rId18" Type="http://schemas.openxmlformats.org/officeDocument/2006/relationships/hyperlink" Target="mailto:paari@gmail.com" TargetMode="External"/><Relationship Id="rId3" Type="http://schemas.openxmlformats.org/officeDocument/2006/relationships/hyperlink" Target="mailto:ajay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sarithan@gmail.com" TargetMode="External"/><Relationship Id="rId12" Type="http://schemas.openxmlformats.org/officeDocument/2006/relationships/hyperlink" Target="mailto:sham@gmail.com" TargetMode="External"/><Relationship Id="rId17" Type="http://schemas.openxmlformats.org/officeDocument/2006/relationships/hyperlink" Target="mailto:red@gmail.com" TargetMode="External"/><Relationship Id="rId2" Type="http://schemas.openxmlformats.org/officeDocument/2006/relationships/hyperlink" Target="mailto:rekish@gmail.com" TargetMode="External"/><Relationship Id="rId16" Type="http://schemas.openxmlformats.org/officeDocument/2006/relationships/hyperlink" Target="mailto:ajith@gmail.com" TargetMode="External"/><Relationship Id="rId20" Type="http://schemas.openxmlformats.org/officeDocument/2006/relationships/hyperlink" Target="mailto:anushka@gmail.com" TargetMode="External"/><Relationship Id="rId1" Type="http://schemas.openxmlformats.org/officeDocument/2006/relationships/hyperlink" Target="mailto:varun@gmail.com" TargetMode="External"/><Relationship Id="rId6" Type="http://schemas.openxmlformats.org/officeDocument/2006/relationships/hyperlink" Target="mailto:seeman@gmail.com" TargetMode="External"/><Relationship Id="rId11" Type="http://schemas.openxmlformats.org/officeDocument/2006/relationships/hyperlink" Target="mailto:satish@gmail.com" TargetMode="External"/><Relationship Id="rId5" Type="http://schemas.openxmlformats.org/officeDocument/2006/relationships/hyperlink" Target="mailto:apsal@gmail.com" TargetMode="External"/><Relationship Id="rId15" Type="http://schemas.openxmlformats.org/officeDocument/2006/relationships/hyperlink" Target="mailto:vijay@gmail.com" TargetMode="External"/><Relationship Id="rId10" Type="http://schemas.openxmlformats.org/officeDocument/2006/relationships/hyperlink" Target="mailto:srinath@gmail.com" TargetMode="External"/><Relationship Id="rId19" Type="http://schemas.openxmlformats.org/officeDocument/2006/relationships/hyperlink" Target="mailto:jeya@gmail.com" TargetMode="External"/><Relationship Id="rId4" Type="http://schemas.openxmlformats.org/officeDocument/2006/relationships/hyperlink" Target="mailto:sarath@gmail.com" TargetMode="External"/><Relationship Id="rId9" Type="http://schemas.openxmlformats.org/officeDocument/2006/relationships/hyperlink" Target="mailto:dhanusha@gmail.com" TargetMode="External"/><Relationship Id="rId14" Type="http://schemas.openxmlformats.org/officeDocument/2006/relationships/hyperlink" Target="mailto:surendh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74DB-BDEF-4AE2-B231-BC521B144E1D}">
  <dimension ref="A1:Q21"/>
  <sheetViews>
    <sheetView workbookViewId="0">
      <selection activeCell="J27" sqref="J27"/>
    </sheetView>
  </sheetViews>
  <sheetFormatPr defaultRowHeight="15.05" x14ac:dyDescent="0.3"/>
  <cols>
    <col min="2" max="3" width="9.21875" bestFit="1" customWidth="1"/>
    <col min="4" max="4" width="46.33203125" bestFit="1" customWidth="1"/>
    <col min="6" max="10" width="7.77734375" bestFit="1" customWidth="1"/>
    <col min="11" max="11" width="7.33203125" bestFit="1" customWidth="1"/>
    <col min="12" max="12" width="6.77734375" bestFit="1" customWidth="1"/>
    <col min="15" max="15" width="7.33203125" bestFit="1" customWidth="1"/>
    <col min="17" max="17" width="36.441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81</v>
      </c>
    </row>
    <row r="2" spans="1:17" x14ac:dyDescent="0.3">
      <c r="A2" s="3">
        <v>1</v>
      </c>
      <c r="B2" s="3" t="s">
        <v>16</v>
      </c>
      <c r="C2" s="3">
        <v>25</v>
      </c>
      <c r="D2" s="3" t="s">
        <v>64</v>
      </c>
      <c r="E2" s="3" t="s">
        <v>17</v>
      </c>
      <c r="F2" s="3">
        <v>100</v>
      </c>
      <c r="G2" s="3">
        <v>95</v>
      </c>
      <c r="H2" s="3">
        <v>98</v>
      </c>
      <c r="I2" s="3">
        <v>97</v>
      </c>
      <c r="J2" s="3">
        <v>100</v>
      </c>
      <c r="K2" s="3">
        <f>SUM(F2:J2)</f>
        <v>490</v>
      </c>
      <c r="L2" s="3">
        <f t="shared" ref="L2:L21" si="0">AVERAGE(F2:J2)</f>
        <v>98</v>
      </c>
      <c r="M2" s="3">
        <f>(490/500)*100</f>
        <v>98</v>
      </c>
      <c r="N2" s="3" t="str">
        <f>IF(M2&gt;=90,"A+",IF(M2&gt;=80,"A",IF(M2&gt;=70,"B+",IF(M2&gt;=50,"B",IF(M2&gt;=40,"C",IF(M2&lt;40,"F"))))))</f>
        <v>A+</v>
      </c>
      <c r="O2" s="3">
        <f t="shared" ref="O2:O21" si="1">RANK(K2,$K$2:$K$21,0)</f>
        <v>1</v>
      </c>
      <c r="P2" s="3" t="str">
        <f t="shared" ref="P2:P21" si="2">IF(M2&gt;=40,"Pass","Fail")</f>
        <v>Pass</v>
      </c>
      <c r="Q2" s="4" t="s">
        <v>18</v>
      </c>
    </row>
    <row r="3" spans="1:17" x14ac:dyDescent="0.3">
      <c r="A3" s="3">
        <v>2</v>
      </c>
      <c r="B3" s="3" t="s">
        <v>19</v>
      </c>
      <c r="C3" s="3">
        <v>19</v>
      </c>
      <c r="D3" s="3" t="s">
        <v>64</v>
      </c>
      <c r="E3" s="3" t="s">
        <v>20</v>
      </c>
      <c r="F3" s="3">
        <v>96</v>
      </c>
      <c r="G3" s="3">
        <v>98</v>
      </c>
      <c r="H3" s="3">
        <v>79</v>
      </c>
      <c r="I3" s="3">
        <v>79</v>
      </c>
      <c r="J3" s="3">
        <v>100</v>
      </c>
      <c r="K3" s="3">
        <f t="shared" ref="K3:K21" si="3">SUM(F3:J3)</f>
        <v>452</v>
      </c>
      <c r="L3" s="3">
        <f t="shared" si="0"/>
        <v>90.4</v>
      </c>
      <c r="M3" s="3">
        <f>(452/500)*100</f>
        <v>90.4</v>
      </c>
      <c r="N3" s="3" t="str">
        <f>IF(M3&gt;=90,"A+",IF(M3&gt;=80,"A",IF(M3&gt;=70,"B+",IF(M3&gt;=50,"B",IF(M3&gt;=40,"C",IF(M3&lt;40,"F"))))))</f>
        <v>A+</v>
      </c>
      <c r="O3" s="3">
        <f t="shared" si="1"/>
        <v>6</v>
      </c>
      <c r="P3" s="3" t="str">
        <f t="shared" si="2"/>
        <v>Pass</v>
      </c>
      <c r="Q3" s="4" t="s">
        <v>21</v>
      </c>
    </row>
    <row r="4" spans="1:17" x14ac:dyDescent="0.3">
      <c r="A4" s="3">
        <v>3</v>
      </c>
      <c r="B4" s="3" t="s">
        <v>22</v>
      </c>
      <c r="C4" s="3">
        <v>1</v>
      </c>
      <c r="D4" s="3" t="s">
        <v>63</v>
      </c>
      <c r="E4" s="3" t="s">
        <v>17</v>
      </c>
      <c r="F4" s="3">
        <v>100</v>
      </c>
      <c r="G4" s="3">
        <v>84</v>
      </c>
      <c r="H4" s="3">
        <v>82</v>
      </c>
      <c r="I4" s="3">
        <v>94</v>
      </c>
      <c r="J4" s="3">
        <v>100</v>
      </c>
      <c r="K4" s="3">
        <f t="shared" si="3"/>
        <v>460</v>
      </c>
      <c r="L4" s="3">
        <f t="shared" si="0"/>
        <v>92</v>
      </c>
      <c r="M4" s="3">
        <v>92</v>
      </c>
      <c r="N4" s="3" t="str">
        <f t="shared" ref="N4:N21" si="4">IF(M4&gt;=90,"A+",IF(M4&gt;=80,"A",IF(M4&gt;=70,"B+",IF(M4&gt;=50,"B",IF(M4&gt;=40,"C",IF(M4&lt;40,"F"))))))</f>
        <v>A+</v>
      </c>
      <c r="O4" s="3">
        <f t="shared" si="1"/>
        <v>5</v>
      </c>
      <c r="P4" s="3" t="str">
        <f t="shared" si="2"/>
        <v>Pass</v>
      </c>
      <c r="Q4" s="4" t="s">
        <v>23</v>
      </c>
    </row>
    <row r="5" spans="1:17" x14ac:dyDescent="0.3">
      <c r="A5" s="3">
        <v>4</v>
      </c>
      <c r="B5" s="3" t="s">
        <v>24</v>
      </c>
      <c r="C5" s="3">
        <v>22</v>
      </c>
      <c r="D5" s="3" t="s">
        <v>63</v>
      </c>
      <c r="E5" s="3" t="s">
        <v>17</v>
      </c>
      <c r="F5" s="3">
        <v>98</v>
      </c>
      <c r="G5" s="3">
        <v>85</v>
      </c>
      <c r="H5" s="3">
        <v>98</v>
      </c>
      <c r="I5" s="3">
        <v>96</v>
      </c>
      <c r="J5" s="3">
        <v>100</v>
      </c>
      <c r="K5" s="3">
        <f t="shared" si="3"/>
        <v>477</v>
      </c>
      <c r="L5" s="3">
        <f t="shared" si="0"/>
        <v>95.4</v>
      </c>
      <c r="M5" s="3">
        <v>95.4</v>
      </c>
      <c r="N5" s="3" t="str">
        <f t="shared" si="4"/>
        <v>A+</v>
      </c>
      <c r="O5" s="3">
        <f t="shared" si="1"/>
        <v>3</v>
      </c>
      <c r="P5" s="3" t="str">
        <f t="shared" si="2"/>
        <v>Pass</v>
      </c>
      <c r="Q5" s="4" t="s">
        <v>25</v>
      </c>
    </row>
    <row r="6" spans="1:17" x14ac:dyDescent="0.3">
      <c r="A6" s="3">
        <v>5</v>
      </c>
      <c r="B6" s="3" t="s">
        <v>26</v>
      </c>
      <c r="C6" s="3">
        <v>3</v>
      </c>
      <c r="D6" s="3" t="s">
        <v>66</v>
      </c>
      <c r="E6" s="3" t="s">
        <v>20</v>
      </c>
      <c r="F6" s="3">
        <v>100</v>
      </c>
      <c r="G6" s="3">
        <v>49</v>
      </c>
      <c r="H6" s="3">
        <v>83</v>
      </c>
      <c r="I6" s="3">
        <v>98</v>
      </c>
      <c r="J6" s="3">
        <v>100</v>
      </c>
      <c r="K6" s="3">
        <f t="shared" si="3"/>
        <v>430</v>
      </c>
      <c r="L6" s="3">
        <f t="shared" si="0"/>
        <v>86</v>
      </c>
      <c r="M6" s="3">
        <v>86</v>
      </c>
      <c r="N6" s="3" t="str">
        <f t="shared" si="4"/>
        <v>A</v>
      </c>
      <c r="O6" s="3">
        <f t="shared" si="1"/>
        <v>10</v>
      </c>
      <c r="P6" s="3" t="str">
        <f t="shared" si="2"/>
        <v>Pass</v>
      </c>
      <c r="Q6" s="4" t="s">
        <v>27</v>
      </c>
    </row>
    <row r="7" spans="1:17" x14ac:dyDescent="0.3">
      <c r="A7" s="3">
        <v>6</v>
      </c>
      <c r="B7" s="3" t="s">
        <v>28</v>
      </c>
      <c r="C7" s="3">
        <v>24</v>
      </c>
      <c r="D7" s="3" t="s">
        <v>64</v>
      </c>
      <c r="E7" s="3" t="s">
        <v>17</v>
      </c>
      <c r="F7" s="3">
        <v>95</v>
      </c>
      <c r="G7" s="3">
        <v>28</v>
      </c>
      <c r="H7" s="3">
        <v>56</v>
      </c>
      <c r="I7" s="3">
        <v>95</v>
      </c>
      <c r="J7" s="3">
        <v>100</v>
      </c>
      <c r="K7" s="3">
        <f t="shared" si="3"/>
        <v>374</v>
      </c>
      <c r="L7" s="3">
        <f t="shared" si="0"/>
        <v>74.8</v>
      </c>
      <c r="M7" s="3">
        <v>74.8</v>
      </c>
      <c r="N7" s="3" t="str">
        <f t="shared" si="4"/>
        <v>B+</v>
      </c>
      <c r="O7" s="3">
        <f t="shared" si="1"/>
        <v>15</v>
      </c>
      <c r="P7" s="3" t="str">
        <f t="shared" si="2"/>
        <v>Pass</v>
      </c>
      <c r="Q7" s="4" t="s">
        <v>29</v>
      </c>
    </row>
    <row r="8" spans="1:17" x14ac:dyDescent="0.3">
      <c r="A8" s="3">
        <v>7</v>
      </c>
      <c r="B8" s="3" t="s">
        <v>30</v>
      </c>
      <c r="C8" s="3">
        <v>23</v>
      </c>
      <c r="D8" s="3" t="s">
        <v>66</v>
      </c>
      <c r="E8" s="3" t="s">
        <v>17</v>
      </c>
      <c r="F8" s="3">
        <v>86</v>
      </c>
      <c r="G8" s="3">
        <v>74</v>
      </c>
      <c r="H8" s="3">
        <v>74</v>
      </c>
      <c r="I8" s="3">
        <v>97</v>
      </c>
      <c r="J8" s="3">
        <v>98</v>
      </c>
      <c r="K8" s="3">
        <f t="shared" si="3"/>
        <v>429</v>
      </c>
      <c r="L8" s="3">
        <f t="shared" si="0"/>
        <v>85.8</v>
      </c>
      <c r="M8" s="3">
        <v>85.8</v>
      </c>
      <c r="N8" s="3" t="str">
        <f t="shared" si="4"/>
        <v>A</v>
      </c>
      <c r="O8" s="3">
        <f>RANK(K8,$K$2:$K$21,0)</f>
        <v>11</v>
      </c>
      <c r="P8" s="3" t="str">
        <f t="shared" si="2"/>
        <v>Pass</v>
      </c>
      <c r="Q8" s="4" t="s">
        <v>82</v>
      </c>
    </row>
    <row r="9" spans="1:17" x14ac:dyDescent="0.3">
      <c r="A9" s="3">
        <v>8</v>
      </c>
      <c r="B9" s="3" t="s">
        <v>31</v>
      </c>
      <c r="C9" s="3">
        <v>8</v>
      </c>
      <c r="D9" s="3" t="s">
        <v>64</v>
      </c>
      <c r="E9" s="3" t="s">
        <v>17</v>
      </c>
      <c r="F9" s="3">
        <v>94</v>
      </c>
      <c r="G9" s="3">
        <v>89</v>
      </c>
      <c r="H9" s="3">
        <v>98</v>
      </c>
      <c r="I9" s="3">
        <v>98</v>
      </c>
      <c r="J9" s="3">
        <v>100</v>
      </c>
      <c r="K9" s="3">
        <f t="shared" si="3"/>
        <v>479</v>
      </c>
      <c r="L9" s="3">
        <f t="shared" si="0"/>
        <v>95.8</v>
      </c>
      <c r="M9" s="3">
        <v>95.8</v>
      </c>
      <c r="N9" s="3" t="str">
        <f t="shared" si="4"/>
        <v>A+</v>
      </c>
      <c r="O9" s="3">
        <f t="shared" si="1"/>
        <v>2</v>
      </c>
      <c r="P9" s="3" t="str">
        <f t="shared" si="2"/>
        <v>Pass</v>
      </c>
      <c r="Q9" s="4" t="s">
        <v>83</v>
      </c>
    </row>
    <row r="10" spans="1:17" x14ac:dyDescent="0.3">
      <c r="A10" s="3">
        <v>9</v>
      </c>
      <c r="B10" s="3" t="s">
        <v>32</v>
      </c>
      <c r="C10" s="3">
        <v>5</v>
      </c>
      <c r="D10" s="3" t="s">
        <v>64</v>
      </c>
      <c r="E10" s="3" t="s">
        <v>17</v>
      </c>
      <c r="F10" s="3">
        <v>84</v>
      </c>
      <c r="G10" s="3">
        <v>31</v>
      </c>
      <c r="H10" s="3">
        <v>74</v>
      </c>
      <c r="I10" s="3">
        <v>100</v>
      </c>
      <c r="J10" s="3">
        <v>79</v>
      </c>
      <c r="K10" s="3">
        <f t="shared" si="3"/>
        <v>368</v>
      </c>
      <c r="L10" s="3">
        <f t="shared" si="0"/>
        <v>73.599999999999994</v>
      </c>
      <c r="M10" s="3">
        <v>73.599999999999994</v>
      </c>
      <c r="N10" s="3" t="str">
        <f t="shared" si="4"/>
        <v>B+</v>
      </c>
      <c r="O10" s="3">
        <f t="shared" si="1"/>
        <v>16</v>
      </c>
      <c r="P10" s="3" t="str">
        <f t="shared" si="2"/>
        <v>Pass</v>
      </c>
      <c r="Q10" s="4" t="s">
        <v>33</v>
      </c>
    </row>
    <row r="11" spans="1:17" x14ac:dyDescent="0.3">
      <c r="A11" s="3">
        <v>10</v>
      </c>
      <c r="B11" s="3" t="s">
        <v>34</v>
      </c>
      <c r="C11" s="3">
        <v>45</v>
      </c>
      <c r="D11" s="3" t="s">
        <v>65</v>
      </c>
      <c r="E11" s="3" t="s">
        <v>35</v>
      </c>
      <c r="F11" s="3">
        <v>13</v>
      </c>
      <c r="G11" s="3">
        <v>23</v>
      </c>
      <c r="H11" s="3">
        <v>21</v>
      </c>
      <c r="I11" s="3">
        <v>32</v>
      </c>
      <c r="J11" s="3">
        <v>78</v>
      </c>
      <c r="K11" s="3">
        <f t="shared" si="3"/>
        <v>167</v>
      </c>
      <c r="L11" s="3">
        <f t="shared" si="0"/>
        <v>33.4</v>
      </c>
      <c r="M11" s="3">
        <v>33.4</v>
      </c>
      <c r="N11" s="3" t="str">
        <f t="shared" si="4"/>
        <v>F</v>
      </c>
      <c r="O11" s="3">
        <f t="shared" si="1"/>
        <v>20</v>
      </c>
      <c r="P11" s="3" t="str">
        <f t="shared" si="2"/>
        <v>Fail</v>
      </c>
      <c r="Q11" s="4" t="s">
        <v>36</v>
      </c>
    </row>
    <row r="12" spans="1:17" x14ac:dyDescent="0.3">
      <c r="A12" s="3">
        <v>11</v>
      </c>
      <c r="B12" s="3" t="s">
        <v>37</v>
      </c>
      <c r="C12" s="3">
        <v>46</v>
      </c>
      <c r="D12" s="3" t="s">
        <v>65</v>
      </c>
      <c r="E12" s="3" t="s">
        <v>17</v>
      </c>
      <c r="F12" s="3">
        <v>24</v>
      </c>
      <c r="G12" s="3">
        <v>74</v>
      </c>
      <c r="H12" s="3">
        <v>89</v>
      </c>
      <c r="I12" s="3">
        <v>54</v>
      </c>
      <c r="J12" s="3">
        <v>100</v>
      </c>
      <c r="K12" s="3">
        <f t="shared" si="3"/>
        <v>341</v>
      </c>
      <c r="L12" s="3">
        <f t="shared" si="0"/>
        <v>68.2</v>
      </c>
      <c r="M12" s="3">
        <v>68.2</v>
      </c>
      <c r="N12" s="3" t="str">
        <f t="shared" si="4"/>
        <v>B</v>
      </c>
      <c r="O12" s="3">
        <f t="shared" si="1"/>
        <v>17</v>
      </c>
      <c r="P12" s="3" t="str">
        <f t="shared" si="2"/>
        <v>Pass</v>
      </c>
      <c r="Q12" s="4" t="s">
        <v>38</v>
      </c>
    </row>
    <row r="13" spans="1:17" x14ac:dyDescent="0.3">
      <c r="A13" s="3">
        <v>12</v>
      </c>
      <c r="B13" s="3" t="s">
        <v>39</v>
      </c>
      <c r="C13" s="3">
        <v>67</v>
      </c>
      <c r="D13" s="3" t="s">
        <v>66</v>
      </c>
      <c r="E13" s="3" t="s">
        <v>35</v>
      </c>
      <c r="F13" s="3">
        <v>98</v>
      </c>
      <c r="G13" s="3">
        <v>74</v>
      </c>
      <c r="H13" s="3">
        <v>72</v>
      </c>
      <c r="I13" s="3">
        <v>87</v>
      </c>
      <c r="J13" s="3">
        <v>100</v>
      </c>
      <c r="K13" s="3">
        <f t="shared" si="3"/>
        <v>431</v>
      </c>
      <c r="L13" s="3">
        <f t="shared" si="0"/>
        <v>86.2</v>
      </c>
      <c r="M13" s="3">
        <v>86.2</v>
      </c>
      <c r="N13" s="3" t="str">
        <f t="shared" si="4"/>
        <v>A</v>
      </c>
      <c r="O13" s="3">
        <f t="shared" si="1"/>
        <v>9</v>
      </c>
      <c r="P13" s="3" t="str">
        <f t="shared" si="2"/>
        <v>Pass</v>
      </c>
      <c r="Q13" s="4" t="s">
        <v>40</v>
      </c>
    </row>
    <row r="14" spans="1:17" x14ac:dyDescent="0.3">
      <c r="A14" s="3">
        <v>13</v>
      </c>
      <c r="B14" s="3" t="s">
        <v>41</v>
      </c>
      <c r="C14" s="3">
        <v>10</v>
      </c>
      <c r="D14" s="3" t="s">
        <v>66</v>
      </c>
      <c r="E14" s="3" t="s">
        <v>42</v>
      </c>
      <c r="F14" s="3">
        <v>92</v>
      </c>
      <c r="G14" s="3">
        <v>65</v>
      </c>
      <c r="H14" s="3">
        <v>96</v>
      </c>
      <c r="I14" s="3">
        <v>98</v>
      </c>
      <c r="J14" s="3">
        <v>98</v>
      </c>
      <c r="K14" s="3">
        <f t="shared" si="3"/>
        <v>449</v>
      </c>
      <c r="L14" s="3">
        <f t="shared" si="0"/>
        <v>89.8</v>
      </c>
      <c r="M14" s="3">
        <v>89.8</v>
      </c>
      <c r="N14" s="3" t="str">
        <f t="shared" si="4"/>
        <v>A</v>
      </c>
      <c r="O14" s="3">
        <f t="shared" si="1"/>
        <v>7</v>
      </c>
      <c r="P14" s="3" t="str">
        <f t="shared" si="2"/>
        <v>Pass</v>
      </c>
      <c r="Q14" s="4" t="s">
        <v>43</v>
      </c>
    </row>
    <row r="15" spans="1:17" x14ac:dyDescent="0.3">
      <c r="A15" s="3">
        <v>14</v>
      </c>
      <c r="B15" s="3" t="s">
        <v>44</v>
      </c>
      <c r="C15" s="3">
        <v>61</v>
      </c>
      <c r="D15" s="3" t="s">
        <v>66</v>
      </c>
      <c r="E15" s="3" t="s">
        <v>20</v>
      </c>
      <c r="F15" s="3">
        <v>35</v>
      </c>
      <c r="G15" s="3">
        <v>47</v>
      </c>
      <c r="H15" s="3">
        <v>72</v>
      </c>
      <c r="I15" s="3">
        <v>75</v>
      </c>
      <c r="J15" s="3">
        <v>74</v>
      </c>
      <c r="K15" s="3">
        <f t="shared" si="3"/>
        <v>303</v>
      </c>
      <c r="L15" s="3">
        <f t="shared" si="0"/>
        <v>60.6</v>
      </c>
      <c r="M15" s="3">
        <v>60.6</v>
      </c>
      <c r="N15" s="3" t="str">
        <f t="shared" si="4"/>
        <v>B</v>
      </c>
      <c r="O15" s="3">
        <f t="shared" si="1"/>
        <v>19</v>
      </c>
      <c r="P15" s="3" t="str">
        <f t="shared" si="2"/>
        <v>Pass</v>
      </c>
      <c r="Q15" s="4" t="s">
        <v>45</v>
      </c>
    </row>
    <row r="16" spans="1:17" x14ac:dyDescent="0.3">
      <c r="A16" s="3">
        <v>15</v>
      </c>
      <c r="B16" s="3" t="s">
        <v>46</v>
      </c>
      <c r="C16" s="3">
        <v>89</v>
      </c>
      <c r="D16" s="3" t="s">
        <v>62</v>
      </c>
      <c r="E16" s="3" t="s">
        <v>20</v>
      </c>
      <c r="F16" s="3">
        <v>84</v>
      </c>
      <c r="G16" s="3">
        <v>74</v>
      </c>
      <c r="H16" s="3">
        <v>72</v>
      </c>
      <c r="I16" s="3">
        <v>78</v>
      </c>
      <c r="J16" s="3">
        <v>98</v>
      </c>
      <c r="K16" s="3">
        <f t="shared" si="3"/>
        <v>406</v>
      </c>
      <c r="L16" s="3">
        <f t="shared" si="0"/>
        <v>81.2</v>
      </c>
      <c r="M16" s="3">
        <v>81.2</v>
      </c>
      <c r="N16" s="3" t="str">
        <f t="shared" si="4"/>
        <v>A</v>
      </c>
      <c r="O16" s="3">
        <f t="shared" si="1"/>
        <v>12</v>
      </c>
      <c r="P16" s="3" t="str">
        <f t="shared" si="2"/>
        <v>Pass</v>
      </c>
      <c r="Q16" s="4" t="s">
        <v>47</v>
      </c>
    </row>
    <row r="17" spans="1:17" x14ac:dyDescent="0.3">
      <c r="A17" s="3">
        <v>16</v>
      </c>
      <c r="B17" s="3" t="s">
        <v>48</v>
      </c>
      <c r="C17" s="3">
        <v>2</v>
      </c>
      <c r="D17" s="3" t="s">
        <v>62</v>
      </c>
      <c r="E17" s="3" t="s">
        <v>20</v>
      </c>
      <c r="F17" s="3">
        <v>56</v>
      </c>
      <c r="G17" s="3">
        <v>87</v>
      </c>
      <c r="H17" s="3">
        <v>98</v>
      </c>
      <c r="I17" s="3">
        <v>74</v>
      </c>
      <c r="J17" s="3">
        <v>74</v>
      </c>
      <c r="K17" s="3">
        <f t="shared" si="3"/>
        <v>389</v>
      </c>
      <c r="L17" s="3">
        <f t="shared" si="0"/>
        <v>77.8</v>
      </c>
      <c r="M17" s="3">
        <v>77.8</v>
      </c>
      <c r="N17" s="3" t="str">
        <f t="shared" si="4"/>
        <v>B+</v>
      </c>
      <c r="O17" s="3">
        <f t="shared" si="1"/>
        <v>13</v>
      </c>
      <c r="P17" s="3" t="str">
        <f t="shared" si="2"/>
        <v>Pass</v>
      </c>
      <c r="Q17" s="4" t="s">
        <v>49</v>
      </c>
    </row>
    <row r="18" spans="1:17" x14ac:dyDescent="0.3">
      <c r="A18" s="3">
        <v>17</v>
      </c>
      <c r="B18" s="3" t="s">
        <v>50</v>
      </c>
      <c r="C18" s="3">
        <v>91</v>
      </c>
      <c r="D18" s="3" t="s">
        <v>65</v>
      </c>
      <c r="E18" s="3" t="s">
        <v>42</v>
      </c>
      <c r="F18" s="3">
        <v>11</v>
      </c>
      <c r="G18" s="3">
        <v>45</v>
      </c>
      <c r="H18" s="3">
        <v>74</v>
      </c>
      <c r="I18" s="3">
        <v>98</v>
      </c>
      <c r="J18" s="3">
        <v>100</v>
      </c>
      <c r="K18" s="3">
        <f t="shared" si="3"/>
        <v>328</v>
      </c>
      <c r="L18" s="3">
        <f t="shared" si="0"/>
        <v>65.599999999999994</v>
      </c>
      <c r="M18" s="3">
        <v>65.599999999999994</v>
      </c>
      <c r="N18" s="3" t="str">
        <f t="shared" si="4"/>
        <v>B</v>
      </c>
      <c r="O18" s="3">
        <f t="shared" si="1"/>
        <v>18</v>
      </c>
      <c r="P18" s="3" t="str">
        <f t="shared" si="2"/>
        <v>Pass</v>
      </c>
      <c r="Q18" s="4" t="s">
        <v>51</v>
      </c>
    </row>
    <row r="19" spans="1:17" x14ac:dyDescent="0.3">
      <c r="A19" s="3">
        <v>18</v>
      </c>
      <c r="B19" s="3" t="s">
        <v>52</v>
      </c>
      <c r="C19" s="3">
        <v>34</v>
      </c>
      <c r="D19" s="3" t="s">
        <v>65</v>
      </c>
      <c r="E19" s="3" t="s">
        <v>35</v>
      </c>
      <c r="F19" s="3">
        <v>54</v>
      </c>
      <c r="G19" s="3">
        <v>74</v>
      </c>
      <c r="H19" s="3">
        <v>82</v>
      </c>
      <c r="I19" s="3">
        <v>78</v>
      </c>
      <c r="J19" s="3">
        <v>100</v>
      </c>
      <c r="K19" s="3">
        <f t="shared" si="3"/>
        <v>388</v>
      </c>
      <c r="L19" s="3">
        <f t="shared" si="0"/>
        <v>77.599999999999994</v>
      </c>
      <c r="M19" s="3">
        <v>77.599999999999994</v>
      </c>
      <c r="N19" s="3" t="str">
        <f t="shared" si="4"/>
        <v>B+</v>
      </c>
      <c r="O19" s="3">
        <f t="shared" si="1"/>
        <v>14</v>
      </c>
      <c r="P19" s="3" t="str">
        <f t="shared" si="2"/>
        <v>Pass</v>
      </c>
      <c r="Q19" s="4" t="s">
        <v>53</v>
      </c>
    </row>
    <row r="20" spans="1:17" x14ac:dyDescent="0.3">
      <c r="A20" s="3">
        <v>19</v>
      </c>
      <c r="B20" s="3" t="s">
        <v>54</v>
      </c>
      <c r="C20" s="3">
        <v>60</v>
      </c>
      <c r="D20" s="3" t="s">
        <v>66</v>
      </c>
      <c r="E20" s="3" t="s">
        <v>17</v>
      </c>
      <c r="F20" s="3">
        <v>79</v>
      </c>
      <c r="G20" s="3">
        <v>87</v>
      </c>
      <c r="H20" s="3">
        <v>98</v>
      </c>
      <c r="I20" s="3">
        <v>91</v>
      </c>
      <c r="J20" s="3">
        <v>89</v>
      </c>
      <c r="K20" s="3">
        <f t="shared" si="3"/>
        <v>444</v>
      </c>
      <c r="L20" s="3">
        <f t="shared" si="0"/>
        <v>88.8</v>
      </c>
      <c r="M20" s="3">
        <v>88.8</v>
      </c>
      <c r="N20" s="3" t="str">
        <f t="shared" si="4"/>
        <v>A</v>
      </c>
      <c r="O20" s="3">
        <f t="shared" si="1"/>
        <v>8</v>
      </c>
      <c r="P20" s="3" t="str">
        <f t="shared" si="2"/>
        <v>Pass</v>
      </c>
      <c r="Q20" s="4" t="s">
        <v>55</v>
      </c>
    </row>
    <row r="21" spans="1:17" x14ac:dyDescent="0.3">
      <c r="A21" s="3">
        <v>20</v>
      </c>
      <c r="B21" s="3" t="s">
        <v>56</v>
      </c>
      <c r="C21" s="3">
        <v>4</v>
      </c>
      <c r="D21" s="3" t="s">
        <v>66</v>
      </c>
      <c r="E21" s="3" t="s">
        <v>42</v>
      </c>
      <c r="F21" s="3">
        <v>100</v>
      </c>
      <c r="G21" s="3">
        <v>91</v>
      </c>
      <c r="H21" s="3">
        <v>86</v>
      </c>
      <c r="I21" s="3">
        <v>89</v>
      </c>
      <c r="J21" s="3">
        <v>100</v>
      </c>
      <c r="K21" s="3">
        <f t="shared" si="3"/>
        <v>466</v>
      </c>
      <c r="L21" s="3">
        <f t="shared" si="0"/>
        <v>93.2</v>
      </c>
      <c r="M21" s="3">
        <v>93.2</v>
      </c>
      <c r="N21" s="3" t="str">
        <f t="shared" si="4"/>
        <v>A+</v>
      </c>
      <c r="O21" s="3">
        <f t="shared" si="1"/>
        <v>4</v>
      </c>
      <c r="P21" s="3" t="str">
        <f t="shared" si="2"/>
        <v>Pass</v>
      </c>
      <c r="Q21" s="4" t="s">
        <v>57</v>
      </c>
    </row>
  </sheetData>
  <conditionalFormatting sqref="M2:M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63BE7B"/>
        <color rgb="FFFFEF9C"/>
      </colorScale>
    </cfRule>
  </conditionalFormatting>
  <conditionalFormatting sqref="M2:M22">
    <cfRule type="colorScale" priority="1">
      <colorScale>
        <cfvo type="num" val="40"/>
        <cfvo type="num" val="70"/>
        <cfvo type="num" val="99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1">
    <cfRule type="containsText" dxfId="1" priority="7" operator="containsText" text="Fail">
      <formula>NOT(ISERROR(SEARCH("Fail",P2)))</formula>
    </cfRule>
    <cfRule type="containsText" dxfId="0" priority="8" operator="containsText" text="PASS">
      <formula>NOT(ISERROR(SEARCH("PASS",P2)))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max"/>
        <color rgb="FF63BE7B"/>
        <color rgb="FFFFEF9C"/>
      </colorScale>
    </cfRule>
  </conditionalFormatting>
  <hyperlinks>
    <hyperlink ref="Q2" r:id="rId1" xr:uid="{B3E6C92E-4599-4D5D-9D45-B9265121A4CD}"/>
    <hyperlink ref="Q3" r:id="rId2" xr:uid="{FC586200-D03D-4A5E-81E4-CB9CBC019E8C}"/>
    <hyperlink ref="Q4" r:id="rId3" xr:uid="{61050FA0-1D19-4EC1-BC63-509C821C87C6}"/>
    <hyperlink ref="Q5" r:id="rId4" xr:uid="{D7F8AA52-0877-4612-A838-AF05E0C613D6}"/>
    <hyperlink ref="Q6" r:id="rId5" xr:uid="{1C3AE442-469D-4ABE-B5B8-0075299461F0}"/>
    <hyperlink ref="Q7" r:id="rId6" xr:uid="{CCE3BDF0-8E27-42FC-A904-C42EE7252690}"/>
    <hyperlink ref="Q8" r:id="rId7" xr:uid="{AFF561BF-14C5-4333-A6F0-89713112C11F}"/>
    <hyperlink ref="Q9" r:id="rId8" xr:uid="{AC4A5776-A35D-46DD-8F89-B0DDCFFCE77F}"/>
    <hyperlink ref="Q10" r:id="rId9" xr:uid="{30A0705F-05AB-4B10-BD8F-3541224D1464}"/>
    <hyperlink ref="Q11" r:id="rId10" xr:uid="{1D1B24C0-9923-4BDE-9634-59A44D176A9F}"/>
    <hyperlink ref="Q12" r:id="rId11" xr:uid="{35D107F2-EA87-4949-A461-CB86019A0EAA}"/>
    <hyperlink ref="Q13" r:id="rId12" xr:uid="{8AC14480-4C9B-453D-B688-B6A7101EFB28}"/>
    <hyperlink ref="Q14" r:id="rId13" xr:uid="{464E5E13-E837-4A42-916F-08E6B3980C39}"/>
    <hyperlink ref="Q15" r:id="rId14" xr:uid="{DC86F09A-3268-4EE6-AF4E-DC5AB810078D}"/>
    <hyperlink ref="Q16" r:id="rId15" xr:uid="{B5172D16-DCAC-4668-8D67-5C3DE041B7F6}"/>
    <hyperlink ref="Q17" r:id="rId16" xr:uid="{5B028C9E-67DE-4FC6-B1AF-7981CAF57695}"/>
    <hyperlink ref="Q18" r:id="rId17" xr:uid="{603F1B36-06FF-4F35-AAF5-03F9AB2A20E6}"/>
    <hyperlink ref="Q19" r:id="rId18" xr:uid="{E6D9BFC3-BD2F-40FE-BCA4-52B7E5E94F88}"/>
    <hyperlink ref="Q20" r:id="rId19" xr:uid="{8BB9D330-7793-42A2-8C94-525191AD9BB1}"/>
    <hyperlink ref="Q21" r:id="rId20" xr:uid="{90955963-72CE-4718-AE10-B9F20BD8FACA}"/>
  </hyperlinks>
  <pageMargins left="0.7" right="0.7" top="0.75" bottom="0.75" header="0.3" footer="0.3"/>
  <tableParts count="1">
    <tablePart r:id="rId2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EFF16FA-CD9A-4443-8B63-9E818A5D5424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'Student Database'!D2:D21</xm:f>
              <xm:sqref>M23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65-40D5-4CB2-A213-8CC76D85EA8B}">
  <dimension ref="A1:C24"/>
  <sheetViews>
    <sheetView tabSelected="1" zoomScale="80" zoomScaleNormal="100" workbookViewId="0">
      <selection activeCell="B22" sqref="B22"/>
    </sheetView>
  </sheetViews>
  <sheetFormatPr defaultRowHeight="21.3" x14ac:dyDescent="0.4"/>
  <cols>
    <col min="1" max="1" width="44.5546875" style="5" customWidth="1"/>
    <col min="2" max="2" width="26.77734375" style="7" customWidth="1"/>
    <col min="3" max="3" width="28.44140625" style="5" customWidth="1"/>
  </cols>
  <sheetData>
    <row r="1" spans="1:3" ht="21.3" customHeight="1" x14ac:dyDescent="0.3">
      <c r="A1" s="8" t="s">
        <v>79</v>
      </c>
      <c r="B1" s="8" t="s">
        <v>81</v>
      </c>
      <c r="C1" s="8" t="s">
        <v>84</v>
      </c>
    </row>
    <row r="2" spans="1:3" x14ac:dyDescent="0.4">
      <c r="A2" s="6"/>
      <c r="C2" s="6"/>
    </row>
    <row r="4" spans="1:3" x14ac:dyDescent="0.4">
      <c r="A4" s="5" t="s">
        <v>58</v>
      </c>
      <c r="B4" s="5" t="s">
        <v>80</v>
      </c>
    </row>
    <row r="5" spans="1:3" x14ac:dyDescent="0.4">
      <c r="A5" s="7" t="s">
        <v>59</v>
      </c>
      <c r="B5" s="7">
        <f>COUNT('Student Database'!C2:C21 )</f>
        <v>20</v>
      </c>
    </row>
    <row r="6" spans="1:3" x14ac:dyDescent="0.3">
      <c r="A6" s="7" t="s">
        <v>60</v>
      </c>
      <c r="B6" s="7">
        <f>COUNTIF('Student Database'!D2:D21,"CSE")</f>
        <v>5</v>
      </c>
      <c r="C6" s="9"/>
    </row>
    <row r="7" spans="1:3" x14ac:dyDescent="0.4">
      <c r="A7" s="7" t="s">
        <v>61</v>
      </c>
      <c r="B7" s="7">
        <f>COUNTIF('Student Database'!D2:D21,"IT")</f>
        <v>7</v>
      </c>
    </row>
    <row r="8" spans="1:3" x14ac:dyDescent="0.4">
      <c r="A8" s="7" t="s">
        <v>67</v>
      </c>
      <c r="B8" s="7">
        <f>COUNTIF('Student Database'!D2:D21, "ECE")</f>
        <v>2</v>
      </c>
    </row>
    <row r="9" spans="1:3" x14ac:dyDescent="0.4">
      <c r="A9" s="7" t="s">
        <v>68</v>
      </c>
      <c r="B9" s="7">
        <f>COUNTIF('Student Database'!M2:M21,"&gt;90")</f>
        <v>6</v>
      </c>
    </row>
    <row r="10" spans="1:3" x14ac:dyDescent="0.4">
      <c r="A10" s="7" t="s">
        <v>69</v>
      </c>
      <c r="B10" s="7">
        <f>COUNTIFS('Student Database'!M2:M21, "&gt;=80", 'Student Database'!M2:M21, "&lt;=90")</f>
        <v>6</v>
      </c>
    </row>
    <row r="11" spans="1:3" x14ac:dyDescent="0.4">
      <c r="A11" s="7" t="s">
        <v>70</v>
      </c>
      <c r="B11" s="7">
        <f>COUNTIF('Student Database'!P2:P21, "FAIL")</f>
        <v>1</v>
      </c>
    </row>
    <row r="12" spans="1:3" x14ac:dyDescent="0.4">
      <c r="A12" s="7" t="s">
        <v>71</v>
      </c>
      <c r="B12" s="7">
        <f>MAX('Student Database'!M2:M21)</f>
        <v>98</v>
      </c>
    </row>
    <row r="13" spans="1:3" x14ac:dyDescent="0.4">
      <c r="A13" s="7" t="s">
        <v>72</v>
      </c>
      <c r="B13" s="7">
        <f>MIN('Student Database'!M2:M21)</f>
        <v>33.4</v>
      </c>
    </row>
    <row r="14" spans="1:3" x14ac:dyDescent="0.4">
      <c r="A14" s="7" t="s">
        <v>73</v>
      </c>
      <c r="B14" s="7">
        <f>LARGE('Student Database'!M2:M21, 2)</f>
        <v>95.8</v>
      </c>
    </row>
    <row r="15" spans="1:3" x14ac:dyDescent="0.4">
      <c r="A15" s="7" t="s">
        <v>74</v>
      </c>
      <c r="B15" s="7">
        <f>SMALL('Student Database'!M2:M21, 3)</f>
        <v>65.599999999999994</v>
      </c>
    </row>
    <row r="16" spans="1:3" x14ac:dyDescent="0.4">
      <c r="A16" s="7" t="s">
        <v>75</v>
      </c>
      <c r="B16" s="7">
        <f>SUMIF('Student Database'!D2:D21,  "CSE", 'Student Database'!K2:K21 )</f>
        <v>2163</v>
      </c>
    </row>
    <row r="17" spans="1:2" x14ac:dyDescent="0.4">
      <c r="A17" s="7" t="s">
        <v>76</v>
      </c>
      <c r="B17" s="7">
        <f>SUMIF('Student Database'!D2:D21,  "IT", 'Student Database'!K2:K21 )</f>
        <v>2952</v>
      </c>
    </row>
    <row r="18" spans="1:2" x14ac:dyDescent="0.4">
      <c r="A18" s="7" t="s">
        <v>77</v>
      </c>
      <c r="B18" s="7">
        <f>COUNTIFS('Student Database'!D2:D21, "CSE", 'Student Database'!M2:M21, "&gt;90")</f>
        <v>3</v>
      </c>
    </row>
    <row r="19" spans="1:2" x14ac:dyDescent="0.4">
      <c r="A19" s="7" t="s">
        <v>78</v>
      </c>
      <c r="B19" s="7">
        <f>SUMIFS('Student Database'!K2:K21, 'Student Database'!D2:D21, "CSE", 'Student Database'!M2:M21, "&gt;90")</f>
        <v>1421</v>
      </c>
    </row>
    <row r="20" spans="1:2" x14ac:dyDescent="0.4">
      <c r="A20" s="7" t="s">
        <v>85</v>
      </c>
      <c r="B20" s="7">
        <f>AVERAGE('Student Database'!M2:M21)</f>
        <v>80.70999999999998</v>
      </c>
    </row>
    <row r="21" spans="1:2" x14ac:dyDescent="0.4">
      <c r="A21" s="7" t="s">
        <v>86</v>
      </c>
      <c r="B21" s="7">
        <f>MAX('Student Database'!K2:K21)</f>
        <v>490</v>
      </c>
    </row>
    <row r="22" spans="1:2" x14ac:dyDescent="0.4">
      <c r="A22" s="7" t="s">
        <v>87</v>
      </c>
      <c r="B22" s="7">
        <f>MIN('Student Database'!K2:K21)</f>
        <v>167</v>
      </c>
    </row>
    <row r="23" spans="1:2" x14ac:dyDescent="0.4">
      <c r="A23" s="7" t="s">
        <v>88</v>
      </c>
      <c r="B23" s="10">
        <f>COUNTIF('Student Database'!P2:P21,"Pass")/COUNTA('Student Database'!P2:P21)</f>
        <v>0.95</v>
      </c>
    </row>
    <row r="24" spans="1:2" x14ac:dyDescent="0.4">
      <c r="A24" s="7" t="s">
        <v>89</v>
      </c>
      <c r="B24" s="10">
        <f>COUNTIF('Student Database'!P2:P21,"FAIL")/COUNTA('Student Database'!P2:P21)</f>
        <v>0.05</v>
      </c>
    </row>
  </sheetData>
  <pageMargins left="0.7" right="0.7" top="0.75" bottom="0.75" header="0.3" footer="0.3"/>
  <pageSetup orientation="portrait" r:id="rId1"/>
  <headerFooter>
    <oddHeader>&amp;A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Database</vt:lpstr>
      <vt:lpstr>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2026-07-08T11:52:28Z</dcterms:created>
  <dcterms:modified xsi:type="dcterms:W3CDTF">2026-07-12T10:54:37Z</dcterms:modified>
</cp:coreProperties>
</file>