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c7308fcf3fd5fa84/Documents/DATA ANALYST JOURNEY/"/>
    </mc:Choice>
  </mc:AlternateContent>
  <xr:revisionPtr revIDLastSave="413" documentId="8_{A2A1D01B-0AF8-4CA2-B331-5E65505233F1}" xr6:coauthVersionLast="47" xr6:coauthVersionMax="47" xr10:uidLastSave="{F65DCA68-8CE0-4410-86DE-252732EAB72E}"/>
  <bookViews>
    <workbookView xWindow="-113" yWindow="-113" windowWidth="24267" windowHeight="13023" activeTab="4" xr2:uid="{10181382-46BF-455D-A482-282FA1577360}"/>
  </bookViews>
  <sheets>
    <sheet name="Formula_Practice" sheetId="1" r:id="rId1"/>
    <sheet name="Lookup_Functions" sheetId="2" r:id="rId2"/>
    <sheet name="Pivot_Analysis" sheetId="3" r:id="rId3"/>
    <sheet name="Dashboard" sheetId="4" r:id="rId4"/>
    <sheet name="Interview_Questions" sheetId="5" r:id="rId5"/>
  </sheets>
  <definedNames>
    <definedName name="Slicer_Category">#N/A</definedName>
    <definedName name="Slicer_Region">#N/A</definedName>
  </definedNames>
  <calcPr calcId="191029"/>
  <pivotCaches>
    <pivotCache cacheId="1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 i="4" l="1"/>
  <c r="H1" i="4"/>
  <c r="E1" i="4"/>
  <c r="B1" i="4"/>
  <c r="I14" i="2"/>
  <c r="I9" i="2"/>
  <c r="I8" i="2"/>
  <c r="I7" i="2"/>
  <c r="I6" i="2"/>
  <c r="I5" i="2"/>
  <c r="Q2" i="1" l="1"/>
  <c r="Q3" i="1"/>
  <c r="Q4" i="1"/>
  <c r="Q5" i="1"/>
  <c r="Q6" i="1"/>
  <c r="Q7" i="1"/>
  <c r="Q8" i="1"/>
  <c r="Q9" i="1"/>
  <c r="Q10" i="1"/>
  <c r="Q11" i="1"/>
  <c r="P2" i="1"/>
  <c r="P3" i="1"/>
  <c r="P4" i="1"/>
  <c r="P5" i="1"/>
  <c r="P6" i="1"/>
  <c r="P7" i="1"/>
  <c r="P8" i="1"/>
  <c r="P9" i="1"/>
  <c r="P10" i="1"/>
  <c r="P11" i="1"/>
  <c r="O2" i="1"/>
  <c r="O3" i="1"/>
  <c r="O4" i="1"/>
  <c r="O5" i="1"/>
  <c r="O6" i="1"/>
  <c r="O7" i="1"/>
  <c r="O8" i="1"/>
  <c r="O9" i="1"/>
  <c r="O10" i="1"/>
  <c r="O11" i="1"/>
  <c r="N2" i="1"/>
  <c r="N3" i="1"/>
  <c r="N4" i="1"/>
  <c r="N5" i="1"/>
  <c r="N6" i="1"/>
  <c r="N7" i="1"/>
  <c r="N8" i="1"/>
  <c r="N9" i="1"/>
  <c r="N10" i="1"/>
  <c r="N11" i="1"/>
  <c r="M2" i="1"/>
  <c r="M3" i="1"/>
  <c r="M4" i="1"/>
  <c r="M5" i="1"/>
  <c r="M6" i="1"/>
  <c r="M7" i="1"/>
  <c r="M8" i="1"/>
  <c r="M9" i="1"/>
  <c r="M10" i="1"/>
  <c r="M11" i="1"/>
  <c r="L2" i="1"/>
  <c r="L3" i="1"/>
  <c r="L4" i="1"/>
  <c r="L5" i="1"/>
  <c r="L6" i="1"/>
  <c r="L7" i="1"/>
  <c r="L8" i="1"/>
  <c r="L9" i="1"/>
  <c r="L10" i="1"/>
  <c r="L11" i="1"/>
  <c r="K2" i="1"/>
  <c r="K3" i="1"/>
  <c r="K4" i="1"/>
  <c r="K5" i="1"/>
  <c r="K6" i="1"/>
  <c r="K7" i="1"/>
  <c r="K8" i="1"/>
  <c r="K9" i="1"/>
  <c r="K10" i="1"/>
  <c r="K11" i="1"/>
  <c r="I2" i="1"/>
  <c r="I3" i="1"/>
  <c r="I4" i="1"/>
  <c r="I5" i="1"/>
  <c r="I6" i="1"/>
  <c r="I7" i="1"/>
  <c r="I8" i="1"/>
  <c r="I9" i="1"/>
  <c r="I10" i="1"/>
  <c r="I11" i="1"/>
  <c r="J2" i="1"/>
  <c r="J3" i="1"/>
  <c r="J4" i="1"/>
  <c r="J5" i="1"/>
  <c r="J6" i="1"/>
  <c r="J7" i="1"/>
  <c r="J8" i="1"/>
  <c r="J9" i="1"/>
  <c r="J10" i="1"/>
  <c r="J11" i="1"/>
  <c r="H2" i="1"/>
  <c r="H3" i="1"/>
  <c r="H4" i="1"/>
  <c r="H5" i="1"/>
  <c r="H6" i="1"/>
  <c r="H7" i="1"/>
  <c r="H8" i="1"/>
  <c r="H9" i="1"/>
  <c r="H10" i="1"/>
  <c r="H11" i="1"/>
  <c r="G2" i="1"/>
  <c r="G3" i="1"/>
  <c r="G4" i="1"/>
  <c r="G5" i="1"/>
  <c r="G6" i="1"/>
  <c r="G7" i="1"/>
  <c r="G8" i="1"/>
  <c r="G9" i="1"/>
  <c r="G10" i="1"/>
  <c r="G11" i="1"/>
</calcChain>
</file>

<file path=xl/sharedStrings.xml><?xml version="1.0" encoding="utf-8"?>
<sst xmlns="http://schemas.openxmlformats.org/spreadsheetml/2006/main" count="190" uniqueCount="95">
  <si>
    <t>Product</t>
  </si>
  <si>
    <t>Category</t>
  </si>
  <si>
    <t>Region</t>
  </si>
  <si>
    <t>Sales</t>
  </si>
  <si>
    <t>Profit</t>
  </si>
  <si>
    <t>Quantity</t>
  </si>
  <si>
    <t>Laptop</t>
  </si>
  <si>
    <t>Electronics</t>
  </si>
  <si>
    <t>East</t>
  </si>
  <si>
    <t>Mobile</t>
  </si>
  <si>
    <t>West</t>
  </si>
  <si>
    <t>Keyboard</t>
  </si>
  <si>
    <t>Accessories</t>
  </si>
  <si>
    <t>North</t>
  </si>
  <si>
    <t>Mouse</t>
  </si>
  <si>
    <t>South</t>
  </si>
  <si>
    <t>Monitor</t>
  </si>
  <si>
    <t>Printer</t>
  </si>
  <si>
    <t>Office</t>
  </si>
  <si>
    <t>Chair</t>
  </si>
  <si>
    <t>Furniture</t>
  </si>
  <si>
    <t>Desk</t>
  </si>
  <si>
    <t>Tablet</t>
  </si>
  <si>
    <t>Webcam</t>
  </si>
  <si>
    <t>Total Sales</t>
  </si>
  <si>
    <t>Average Sales</t>
  </si>
  <si>
    <t>Highest Sale</t>
  </si>
  <si>
    <t>Lowest Sale</t>
  </si>
  <si>
    <t>Number of Products</t>
  </si>
  <si>
    <t>Total Profit</t>
  </si>
  <si>
    <t>Average Profit</t>
  </si>
  <si>
    <t>Total Quantity</t>
  </si>
  <si>
    <t>Performance</t>
  </si>
  <si>
    <t>Bonus Elegible</t>
  </si>
  <si>
    <t>Priority Product</t>
  </si>
  <si>
    <t>Product Lookup</t>
  </si>
  <si>
    <t>Product Name</t>
  </si>
  <si>
    <t>Index + Match</t>
  </si>
  <si>
    <t>Month</t>
  </si>
  <si>
    <t>May</t>
  </si>
  <si>
    <t>March</t>
  </si>
  <si>
    <t>April</t>
  </si>
  <si>
    <t>January</t>
  </si>
  <si>
    <t>November</t>
  </si>
  <si>
    <t>July</t>
  </si>
  <si>
    <t>August</t>
  </si>
  <si>
    <t>Febraury</t>
  </si>
  <si>
    <t>Row Labels</t>
  </si>
  <si>
    <t>Grand Total</t>
  </si>
  <si>
    <t>Sum of Sales</t>
  </si>
  <si>
    <t>Sum of Profit</t>
  </si>
  <si>
    <t>Total Orders</t>
  </si>
  <si>
    <t>No.</t>
  </si>
  <si>
    <t>Question</t>
  </si>
  <si>
    <t>Short Answer</t>
  </si>
  <si>
    <t>What is Microsoft Excel?</t>
  </si>
  <si>
    <t>A spreadsheet application used for data analysis, calculations, reporting, and visualization.</t>
  </si>
  <si>
    <t>What is the difference between a Workbook and a Worksheet?</t>
  </si>
  <si>
    <t>A workbook is an Excel file; a worksheet is a single sheet inside it.</t>
  </si>
  <si>
    <t>What is an Excel Table?</t>
  </si>
  <si>
    <t>A structured range of data with built-in filtering, formatting, and automatic expansion.</t>
  </si>
  <si>
    <t>What is a Pivot Table?</t>
  </si>
  <si>
    <t>A tool used to summarize and analyze large datasets.</t>
  </si>
  <si>
    <t>What is a Pivot Chart?</t>
  </si>
  <si>
    <t>A chart linked to a Pivot Table that updates automatically.</t>
  </si>
  <si>
    <t>What is Conditional Formatting?</t>
  </si>
  <si>
    <t>Automatically formats cells based on specified rules.</t>
  </si>
  <si>
    <t>What is Data Validation?</t>
  </si>
  <si>
    <t>Restricts the type of data users can enter into cells.</t>
  </si>
  <si>
    <t>What is VLOOKUP?</t>
  </si>
  <si>
    <t>Looks up a value in the first column and returns data from another column.</t>
  </si>
  <si>
    <t>What is INDEX + MATCH?</t>
  </si>
  <si>
    <t>A flexible lookup method that works even if columns are rearranged.</t>
  </si>
  <si>
    <t>What is XLOOKUP?</t>
  </si>
  <si>
    <t>A modern lookup function that replaces VLOOKUP and HLOOKUP in newer Excel versions.</t>
  </si>
  <si>
    <t>What is the IF function?</t>
  </si>
  <si>
    <t>Returns one value if a condition is TRUE and another if FALSE.</t>
  </si>
  <si>
    <t>What is COUNTIF?</t>
  </si>
  <si>
    <t>Counts cells that meet a single condition.</t>
  </si>
  <si>
    <t>What is SUMIF?</t>
  </si>
  <si>
    <t>Adds values that meet a single condition.</t>
  </si>
  <si>
    <t>What is Power Query?</t>
  </si>
  <si>
    <t>A tool for importing, cleaning, and transforming data.</t>
  </si>
  <si>
    <t>What is Power Pivot?</t>
  </si>
  <si>
    <t>A tool for creating data models and analyzing relationships between tables.</t>
  </si>
  <si>
    <t>What is a Macro?</t>
  </si>
  <si>
    <t>A recorded or programmed sequence of actions used to automate tasks.</t>
  </si>
  <si>
    <t>What is VBA?</t>
  </si>
  <si>
    <t>Visual Basic for Applications, the programming language used to write Excel macros.</t>
  </si>
  <si>
    <t>What are Slicers?</t>
  </si>
  <si>
    <t>Interactive filters used with Pivot Tables and Pivot Charts.</t>
  </si>
  <si>
    <t>What is a Timeline?</t>
  </si>
  <si>
    <t>A date-based filter used with Pivot Tables.</t>
  </si>
  <si>
    <t>Name three important Excel skills for a Data Analyst.</t>
  </si>
  <si>
    <t>Pivot Tables, Power Query, and Dashboard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</si>
</sst>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70" formatCode="0.0"/>
    <numFmt numFmtId="173" formatCode="&quot;₹&quot;\ #,##0.00"/>
  </numFmts>
  <fonts count="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2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8"/>
        <bgColor indexed="64"/>
      </patternFill>
    </fill>
    <fill>
      <patternFill patternType="solid">
        <fgColor rgb="FF00206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5">
    <xf numFmtId="0" fontId="0" fillId="0" borderId="0" xfId="0"/>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right" vertical="center" wrapText="1"/>
    </xf>
    <xf numFmtId="0" fontId="0" fillId="0" borderId="0" xfId="0" applyAlignment="1">
      <alignment vertical="center" wrapText="1"/>
    </xf>
    <xf numFmtId="170" fontId="0" fillId="0" borderId="0" xfId="0" applyNumberFormat="1" applyAlignment="1">
      <alignment horizontal="right" vertical="center" wrapText="1"/>
    </xf>
    <xf numFmtId="0" fontId="0" fillId="0" borderId="0" xfId="0" applyNumberFormat="1" applyAlignment="1">
      <alignment horizontal="right" vertical="center" wrapText="1"/>
    </xf>
    <xf numFmtId="0" fontId="0" fillId="0" borderId="0" xfId="0" applyAlignment="1">
      <alignment horizontal="center"/>
    </xf>
    <xf numFmtId="0" fontId="3" fillId="0" borderId="0" xfId="0" applyFont="1"/>
    <xf numFmtId="0" fontId="3" fillId="2" borderId="0" xfId="0" applyFont="1" applyFill="1" applyAlignment="1">
      <alignment horizontal="center"/>
    </xf>
    <xf numFmtId="0" fontId="3" fillId="0" borderId="0" xfId="0" applyFont="1" applyAlignment="1">
      <alignment horizontal="center"/>
    </xf>
    <xf numFmtId="0" fontId="4" fillId="2" borderId="0" xfId="0" applyFont="1" applyFill="1" applyAlignment="1">
      <alignment horizontal="center"/>
    </xf>
    <xf numFmtId="0" fontId="0" fillId="0" borderId="0" xfId="0" pivotButton="1"/>
    <xf numFmtId="0" fontId="0" fillId="0" borderId="0" xfId="0" applyAlignment="1">
      <alignment horizontal="left"/>
    </xf>
    <xf numFmtId="173" fontId="0" fillId="0" borderId="0" xfId="0" applyNumberFormat="1"/>
    <xf numFmtId="44" fontId="0" fillId="0" borderId="0" xfId="0" applyNumberFormat="1"/>
    <xf numFmtId="0" fontId="5" fillId="0" borderId="0" xfId="0" applyFont="1"/>
    <xf numFmtId="0" fontId="5" fillId="3" borderId="0" xfId="0" applyFont="1" applyFill="1"/>
    <xf numFmtId="173" fontId="5" fillId="0" borderId="0" xfId="1" applyNumberFormat="1" applyFont="1"/>
    <xf numFmtId="173" fontId="5" fillId="0" borderId="0" xfId="0" applyNumberFormat="1" applyFont="1"/>
    <xf numFmtId="0" fontId="2" fillId="4" borderId="0" xfId="0" applyFont="1" applyFill="1" applyAlignment="1">
      <alignment horizontal="right" vertical="center" wrapText="1"/>
    </xf>
    <xf numFmtId="0" fontId="2" fillId="4"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cellXfs>
  <cellStyles count="2">
    <cellStyle name="Currency" xfId="1" builtinId="4"/>
    <cellStyle name="Normal" xfId="0" builtinId="0"/>
  </cellStyles>
  <dxfs count="89">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73" formatCode="&quot;₹&quot;\ #,##0.00"/>
    </dxf>
    <dxf>
      <numFmt numFmtId="173" formatCode="&quot;₹&quot;\ #,##0.0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170" formatCode="0.0"/>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170" formatCode="0.0"/>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[Day_19_Excel_Interview_Practice.xlsx]Pivot_Analysis!Sales by Region</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c:f>
              <c:strCache>
                <c:ptCount val="1"/>
                <c:pt idx="0">
                  <c:v>Total</c:v>
                </c:pt>
              </c:strCache>
            </c:strRef>
          </c:tx>
          <c:spPr>
            <a:solidFill>
              <a:schemeClr val="accent1"/>
            </a:solidFill>
            <a:ln>
              <a:noFill/>
            </a:ln>
            <a:effectLst/>
          </c:spPr>
          <c:invertIfNegative val="0"/>
          <c:cat>
            <c:strRef>
              <c:f>Pivot_Analysis!$A$2:$A$6</c:f>
              <c:strCache>
                <c:ptCount val="4"/>
                <c:pt idx="0">
                  <c:v>East</c:v>
                </c:pt>
                <c:pt idx="1">
                  <c:v>North</c:v>
                </c:pt>
                <c:pt idx="2">
                  <c:v>South</c:v>
                </c:pt>
                <c:pt idx="3">
                  <c:v>West</c:v>
                </c:pt>
              </c:strCache>
            </c:strRef>
          </c:cat>
          <c:val>
            <c:numRef>
              <c:f>Pivot_Analysis!$B$2:$B$6</c:f>
              <c:numCache>
                <c:formatCode>_("₹"* #,##0.00_);_("₹"* \(#,##0.00\);_("₹"* "-"??_);_(@_)</c:formatCode>
                <c:ptCount val="4"/>
                <c:pt idx="0">
                  <c:v>99000</c:v>
                </c:pt>
                <c:pt idx="1">
                  <c:v>33000</c:v>
                </c:pt>
                <c:pt idx="2">
                  <c:v>19000</c:v>
                </c:pt>
                <c:pt idx="3">
                  <c:v>65000</c:v>
                </c:pt>
              </c:numCache>
            </c:numRef>
          </c:val>
          <c:extLst>
            <c:ext xmlns:c16="http://schemas.microsoft.com/office/drawing/2014/chart" uri="{C3380CC4-5D6E-409C-BE32-E72D297353CC}">
              <c16:uniqueId val="{00000000-F9BE-4404-95BE-8EA0C2225608}"/>
            </c:ext>
          </c:extLst>
        </c:ser>
        <c:dLbls>
          <c:showLegendKey val="0"/>
          <c:showVal val="0"/>
          <c:showCatName val="0"/>
          <c:showSerName val="0"/>
          <c:showPercent val="0"/>
          <c:showBubbleSize val="0"/>
        </c:dLbls>
        <c:gapWidth val="219"/>
        <c:overlap val="-27"/>
        <c:axId val="1346276831"/>
        <c:axId val="1335685103"/>
      </c:barChart>
      <c:catAx>
        <c:axId val="134627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85103"/>
        <c:crosses val="autoZero"/>
        <c:auto val="1"/>
        <c:lblAlgn val="ctr"/>
        <c:lblOffset val="100"/>
        <c:noMultiLvlLbl val="0"/>
      </c:catAx>
      <c:valAx>
        <c:axId val="13356851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27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[Day_19_Excel_Interview_Practice.xlsx]Pivot_Analysis!Sales by Region</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c:f>
              <c:strCache>
                <c:ptCount val="1"/>
                <c:pt idx="0">
                  <c:v>Total</c:v>
                </c:pt>
              </c:strCache>
            </c:strRef>
          </c:tx>
          <c:spPr>
            <a:solidFill>
              <a:schemeClr val="accent1"/>
            </a:solidFill>
            <a:ln>
              <a:noFill/>
            </a:ln>
            <a:effectLst/>
          </c:spPr>
          <c:invertIfNegative val="0"/>
          <c:cat>
            <c:strRef>
              <c:f>Pivot_Analysis!$A$2:$A$6</c:f>
              <c:strCache>
                <c:ptCount val="4"/>
                <c:pt idx="0">
                  <c:v>East</c:v>
                </c:pt>
                <c:pt idx="1">
                  <c:v>North</c:v>
                </c:pt>
                <c:pt idx="2">
                  <c:v>South</c:v>
                </c:pt>
                <c:pt idx="3">
                  <c:v>West</c:v>
                </c:pt>
              </c:strCache>
            </c:strRef>
          </c:cat>
          <c:val>
            <c:numRef>
              <c:f>Pivot_Analysis!$B$2:$B$6</c:f>
              <c:numCache>
                <c:formatCode>_("₹"* #,##0.00_);_("₹"* \(#,##0.00\);_("₹"* "-"??_);_(@_)</c:formatCode>
                <c:ptCount val="4"/>
                <c:pt idx="0">
                  <c:v>99000</c:v>
                </c:pt>
                <c:pt idx="1">
                  <c:v>33000</c:v>
                </c:pt>
                <c:pt idx="2">
                  <c:v>19000</c:v>
                </c:pt>
                <c:pt idx="3">
                  <c:v>65000</c:v>
                </c:pt>
              </c:numCache>
            </c:numRef>
          </c:val>
          <c:extLst>
            <c:ext xmlns:c16="http://schemas.microsoft.com/office/drawing/2014/chart" uri="{C3380CC4-5D6E-409C-BE32-E72D297353CC}">
              <c16:uniqueId val="{00000000-4036-4693-9554-11D38C88CA36}"/>
            </c:ext>
          </c:extLst>
        </c:ser>
        <c:dLbls>
          <c:showLegendKey val="0"/>
          <c:showVal val="0"/>
          <c:showCatName val="0"/>
          <c:showSerName val="0"/>
          <c:showPercent val="0"/>
          <c:showBubbleSize val="0"/>
        </c:dLbls>
        <c:gapWidth val="182"/>
        <c:axId val="1029700015"/>
        <c:axId val="1335668303"/>
      </c:barChart>
      <c:catAx>
        <c:axId val="102970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68303"/>
        <c:crosses val="autoZero"/>
        <c:auto val="1"/>
        <c:lblAlgn val="ctr"/>
        <c:lblOffset val="100"/>
        <c:noMultiLvlLbl val="0"/>
      </c:catAx>
      <c:valAx>
        <c:axId val="133566830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70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[Day_19_Excel_Interview_Practice.xlsx]Pivot_Analysis!Monthly Sales</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Pivot_Analysis!$C$9</c:f>
              <c:strCache>
                <c:ptCount val="1"/>
                <c:pt idx="0">
                  <c:v>Total</c:v>
                </c:pt>
              </c:strCache>
            </c:strRef>
          </c:tx>
          <c:spPr>
            <a:ln w="28575" cap="rnd">
              <a:solidFill>
                <a:schemeClr val="accent1"/>
              </a:solidFill>
              <a:round/>
            </a:ln>
            <a:effectLst/>
          </c:spPr>
          <c:marker>
            <c:symbol val="none"/>
          </c:marker>
          <c:cat>
            <c:strRef>
              <c:f>Pivot_Analysis!$B$10:$B$18</c:f>
              <c:strCache>
                <c:ptCount val="8"/>
                <c:pt idx="0">
                  <c:v>January</c:v>
                </c:pt>
                <c:pt idx="1">
                  <c:v>March</c:v>
                </c:pt>
                <c:pt idx="2">
                  <c:v>April</c:v>
                </c:pt>
                <c:pt idx="3">
                  <c:v>May</c:v>
                </c:pt>
                <c:pt idx="4">
                  <c:v>July</c:v>
                </c:pt>
                <c:pt idx="5">
                  <c:v>August</c:v>
                </c:pt>
                <c:pt idx="6">
                  <c:v>November</c:v>
                </c:pt>
                <c:pt idx="7">
                  <c:v>Febraury</c:v>
                </c:pt>
              </c:strCache>
            </c:strRef>
          </c:cat>
          <c:val>
            <c:numRef>
              <c:f>Pivot_Analysis!$C$10:$C$18</c:f>
              <c:numCache>
                <c:formatCode>"₹"\ #,##0.00</c:formatCode>
                <c:ptCount val="8"/>
                <c:pt idx="0">
                  <c:v>22000</c:v>
                </c:pt>
                <c:pt idx="1">
                  <c:v>38000</c:v>
                </c:pt>
                <c:pt idx="2">
                  <c:v>5000</c:v>
                </c:pt>
                <c:pt idx="3">
                  <c:v>52000</c:v>
                </c:pt>
                <c:pt idx="4">
                  <c:v>40000</c:v>
                </c:pt>
                <c:pt idx="5">
                  <c:v>32000</c:v>
                </c:pt>
                <c:pt idx="6">
                  <c:v>18000</c:v>
                </c:pt>
                <c:pt idx="7">
                  <c:v>9000</c:v>
                </c:pt>
              </c:numCache>
            </c:numRef>
          </c:val>
          <c:smooth val="0"/>
          <c:extLst>
            <c:ext xmlns:c16="http://schemas.microsoft.com/office/drawing/2014/chart" uri="{C3380CC4-5D6E-409C-BE32-E72D297353CC}">
              <c16:uniqueId val="{00000000-A81A-415E-AA11-C1CF9BFF6011}"/>
            </c:ext>
          </c:extLst>
        </c:ser>
        <c:dLbls>
          <c:showLegendKey val="0"/>
          <c:showVal val="0"/>
          <c:showCatName val="0"/>
          <c:showSerName val="0"/>
          <c:showPercent val="0"/>
          <c:showBubbleSize val="0"/>
        </c:dLbls>
        <c:smooth val="0"/>
        <c:axId val="1037024479"/>
        <c:axId val="1335689423"/>
      </c:lineChart>
      <c:catAx>
        <c:axId val="103702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89423"/>
        <c:crosses val="autoZero"/>
        <c:auto val="1"/>
        <c:lblAlgn val="ctr"/>
        <c:lblOffset val="100"/>
        <c:noMultiLvlLbl val="0"/>
      </c:catAx>
      <c:valAx>
        <c:axId val="13356894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702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[Day_19_Excel_Interview_Practice.xlsx]Pivot_Analysis!Top 10 Products</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Pivot_Analysis!$H$1</c:f>
              <c:strCache>
                <c:ptCount val="1"/>
                <c:pt idx="0">
                  <c:v>Total</c:v>
                </c:pt>
              </c:strCache>
            </c:strRef>
          </c:tx>
          <c:spPr>
            <a:solidFill>
              <a:schemeClr val="accent1"/>
            </a:solidFill>
            <a:ln>
              <a:noFill/>
            </a:ln>
            <a:effectLst/>
          </c:spPr>
          <c:invertIfNegative val="0"/>
          <c:cat>
            <c:strRef>
              <c:f>Pivot_Analysis!$G$2:$G$12</c:f>
              <c:strCache>
                <c:ptCount val="10"/>
                <c:pt idx="0">
                  <c:v>Webcam</c:v>
                </c:pt>
                <c:pt idx="1">
                  <c:v>Tablet</c:v>
                </c:pt>
                <c:pt idx="2">
                  <c:v>Printer</c:v>
                </c:pt>
                <c:pt idx="3">
                  <c:v>Mouse</c:v>
                </c:pt>
                <c:pt idx="4">
                  <c:v>Monitor</c:v>
                </c:pt>
                <c:pt idx="5">
                  <c:v>Mobile</c:v>
                </c:pt>
                <c:pt idx="6">
                  <c:v>Laptop</c:v>
                </c:pt>
                <c:pt idx="7">
                  <c:v>Keyboard</c:v>
                </c:pt>
                <c:pt idx="8">
                  <c:v>Desk</c:v>
                </c:pt>
                <c:pt idx="9">
                  <c:v>Chair</c:v>
                </c:pt>
              </c:strCache>
            </c:strRef>
          </c:cat>
          <c:val>
            <c:numRef>
              <c:f>Pivot_Analysis!$H$2:$H$12</c:f>
              <c:numCache>
                <c:formatCode>_("₹"* #,##0.00_);_("₹"* \(#,##0.00\);_("₹"* "-"??_);_(@_)</c:formatCode>
                <c:ptCount val="10"/>
                <c:pt idx="0">
                  <c:v>9000</c:v>
                </c:pt>
                <c:pt idx="1">
                  <c:v>32000</c:v>
                </c:pt>
                <c:pt idx="2">
                  <c:v>18000</c:v>
                </c:pt>
                <c:pt idx="3">
                  <c:v>5000</c:v>
                </c:pt>
                <c:pt idx="4">
                  <c:v>22000</c:v>
                </c:pt>
                <c:pt idx="5">
                  <c:v>38000</c:v>
                </c:pt>
                <c:pt idx="6">
                  <c:v>45000</c:v>
                </c:pt>
                <c:pt idx="7">
                  <c:v>7000</c:v>
                </c:pt>
                <c:pt idx="8">
                  <c:v>26000</c:v>
                </c:pt>
                <c:pt idx="9">
                  <c:v>14000</c:v>
                </c:pt>
              </c:numCache>
            </c:numRef>
          </c:val>
          <c:extLst>
            <c:ext xmlns:c16="http://schemas.microsoft.com/office/drawing/2014/chart" uri="{C3380CC4-5D6E-409C-BE32-E72D297353CC}">
              <c16:uniqueId val="{00000000-E5C6-42A3-BE66-E283848737A2}"/>
            </c:ext>
          </c:extLst>
        </c:ser>
        <c:dLbls>
          <c:showLegendKey val="0"/>
          <c:showVal val="0"/>
          <c:showCatName val="0"/>
          <c:showSerName val="0"/>
          <c:showPercent val="0"/>
          <c:showBubbleSize val="0"/>
        </c:dLbls>
        <c:gapWidth val="150"/>
        <c:axId val="1333201055"/>
        <c:axId val="1335659663"/>
      </c:barChart>
      <c:catAx>
        <c:axId val="133320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659663"/>
        <c:crosses val="autoZero"/>
        <c:auto val="1"/>
        <c:lblAlgn val="ctr"/>
        <c:lblOffset val="100"/>
        <c:noMultiLvlLbl val="0"/>
      </c:catAx>
      <c:valAx>
        <c:axId val="1335659663"/>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20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910423</xdr:colOff>
      <xdr:row>16</xdr:row>
      <xdr:rowOff>7951</xdr:rowOff>
    </xdr:from>
    <xdr:to>
      <xdr:col>6</xdr:col>
      <xdr:colOff>1556044</xdr:colOff>
      <xdr:row>29</xdr:row>
      <xdr:rowOff>47144</xdr:rowOff>
    </xdr:to>
    <xdr:graphicFrame macro="">
      <xdr:nvGraphicFramePr>
        <xdr:cNvPr id="3" name="Chart 1">
          <a:extLst>
            <a:ext uri="{FF2B5EF4-FFF2-40B4-BE49-F238E27FC236}">
              <a16:creationId xmlns:a16="http://schemas.microsoft.com/office/drawing/2014/main" id="{7D2EC91F-32F1-6B84-47DE-572FE3555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393588</xdr:colOff>
      <xdr:row>2</xdr:row>
      <xdr:rowOff>0</xdr:rowOff>
    </xdr:from>
    <xdr:to>
      <xdr:col>3</xdr:col>
      <xdr:colOff>593936</xdr:colOff>
      <xdr:row>15</xdr:row>
      <xdr:rowOff>39193</xdr:rowOff>
    </xdr:to>
    <xdr:graphicFrame macro="">
      <xdr:nvGraphicFramePr>
        <xdr:cNvPr id="4" name="Chart 2">
          <a:extLst>
            <a:ext uri="{FF2B5EF4-FFF2-40B4-BE49-F238E27FC236}">
              <a16:creationId xmlns:a16="http://schemas.microsoft.com/office/drawing/2014/main" id="{AF38996E-86F3-2F22-DD4D-96289F3EA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910424</xdr:colOff>
      <xdr:row>1</xdr:row>
      <xdr:rowOff>182879</xdr:rowOff>
    </xdr:from>
    <xdr:to>
      <xdr:col>6</xdr:col>
      <xdr:colOff>1556045</xdr:colOff>
      <xdr:row>15</xdr:row>
      <xdr:rowOff>31241</xdr:rowOff>
    </xdr:to>
    <xdr:graphicFrame macro="">
      <xdr:nvGraphicFramePr>
        <xdr:cNvPr id="5" name="Chart 3">
          <a:extLst>
            <a:ext uri="{FF2B5EF4-FFF2-40B4-BE49-F238E27FC236}">
              <a16:creationId xmlns:a16="http://schemas.microsoft.com/office/drawing/2014/main" id="{D0773858-AE69-29DA-27FE-0D8142A163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298173</xdr:colOff>
      <xdr:row>1</xdr:row>
      <xdr:rowOff>182880</xdr:rowOff>
    </xdr:from>
    <xdr:to>
      <xdr:col>10</xdr:col>
      <xdr:colOff>1460628</xdr:colOff>
      <xdr:row>15</xdr:row>
      <xdr:rowOff>31242</xdr:rowOff>
    </xdr:to>
    <xdr:graphicFrame macro="">
      <xdr:nvGraphicFramePr>
        <xdr:cNvPr id="6" name="Chart 4">
          <a:extLst>
            <a:ext uri="{FF2B5EF4-FFF2-40B4-BE49-F238E27FC236}">
              <a16:creationId xmlns:a16="http://schemas.microsoft.com/office/drawing/2014/main" id="{C809CD2A-6740-321D-4ABE-A12CDC706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39755</xdr:colOff>
      <xdr:row>17</xdr:row>
      <xdr:rowOff>15902</xdr:rowOff>
    </xdr:from>
    <xdr:to>
      <xdr:col>9</xdr:col>
      <xdr:colOff>1232451</xdr:colOff>
      <xdr:row>30</xdr:row>
      <xdr:rowOff>86544</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B3143A8C-12CE-1AAC-0E28-91D4A84366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748298" y="3427012"/>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23852</xdr:colOff>
      <xdr:row>17</xdr:row>
      <xdr:rowOff>31803</xdr:rowOff>
    </xdr:from>
    <xdr:to>
      <xdr:col>11</xdr:col>
      <xdr:colOff>381661</xdr:colOff>
      <xdr:row>30</xdr:row>
      <xdr:rowOff>102445</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4379D09E-46FE-BABD-903C-3CFF5CAF698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109835" y="3442913"/>
              <a:ext cx="1828800" cy="2551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kumar V" refreshedDate="46233.94528310185" createdVersion="8" refreshedVersion="8" minRefreshableVersion="3" recordCount="10" xr:uid="{6FAE7A9B-20F8-43DE-AB07-FED41E2B5512}">
  <cacheSource type="worksheet">
    <worksheetSource name="Table2"/>
  </cacheSource>
  <cacheFields count="7">
    <cacheField name="Product" numFmtId="0">
      <sharedItems count="10">
        <s v="Laptop"/>
        <s v="Mobile"/>
        <s v="Keyboard"/>
        <s v="Mouse"/>
        <s v="Monitor"/>
        <s v="Printer"/>
        <s v="Chair"/>
        <s v="Desk"/>
        <s v="Tablet"/>
        <s v="Webcam"/>
      </sharedItems>
    </cacheField>
    <cacheField name="Category" numFmtId="0">
      <sharedItems count="4">
        <s v="Electronics"/>
        <s v="Accessories"/>
        <s v="Office"/>
        <s v="Furniture"/>
      </sharedItems>
    </cacheField>
    <cacheField name="Region" numFmtId="0">
      <sharedItems count="4">
        <s v="East"/>
        <s v="West"/>
        <s v="North"/>
        <s v="South"/>
      </sharedItems>
    </cacheField>
    <cacheField name="Sales" numFmtId="0">
      <sharedItems containsSemiMixedTypes="0" containsString="0" containsNumber="1" containsInteger="1" minValue="5000" maxValue="45000"/>
    </cacheField>
    <cacheField name="Profit" numFmtId="0">
      <sharedItems containsSemiMixedTypes="0" containsString="0" containsNumber="1" containsInteger="1" minValue="1000" maxValue="8000" count="10">
        <n v="8000"/>
        <n v="6500"/>
        <n v="1500"/>
        <n v="1000"/>
        <n v="4000"/>
        <n v="3500"/>
        <n v="2800"/>
        <n v="5000"/>
        <n v="6000"/>
        <n v="1800"/>
      </sharedItems>
    </cacheField>
    <cacheField name="Quantity" numFmtId="0">
      <sharedItems containsSemiMixedTypes="0" containsString="0" containsNumber="1" containsInteger="1" minValue="25" maxValue="200"/>
    </cacheField>
    <cacheField name="Month" numFmtId="0">
      <sharedItems count="8">
        <s v="May"/>
        <s v="March"/>
        <s v="April"/>
        <s v="January"/>
        <s v="November"/>
        <s v="July"/>
        <s v="August"/>
        <s v="Febraury"/>
      </sharedItems>
    </cacheField>
  </cacheFields>
  <extLst>
    <ext xmlns:x14="http://schemas.microsoft.com/office/spreadsheetml/2009/9/main" uri="{725AE2AE-9491-48be-B2B4-4EB974FC3084}">
      <x14:pivotCacheDefinition pivotCacheId="1755832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45000"/>
    <x v="0"/>
    <n v="45"/>
    <x v="0"/>
  </r>
  <r>
    <x v="1"/>
    <x v="0"/>
    <x v="1"/>
    <n v="38000"/>
    <x v="1"/>
    <n v="80"/>
    <x v="1"/>
  </r>
  <r>
    <x v="2"/>
    <x v="1"/>
    <x v="2"/>
    <n v="7000"/>
    <x v="2"/>
    <n v="150"/>
    <x v="0"/>
  </r>
  <r>
    <x v="3"/>
    <x v="1"/>
    <x v="3"/>
    <n v="5000"/>
    <x v="3"/>
    <n v="200"/>
    <x v="2"/>
  </r>
  <r>
    <x v="4"/>
    <x v="0"/>
    <x v="0"/>
    <n v="22000"/>
    <x v="4"/>
    <n v="60"/>
    <x v="3"/>
  </r>
  <r>
    <x v="5"/>
    <x v="2"/>
    <x v="1"/>
    <n v="18000"/>
    <x v="5"/>
    <n v="40"/>
    <x v="4"/>
  </r>
  <r>
    <x v="6"/>
    <x v="3"/>
    <x v="3"/>
    <n v="14000"/>
    <x v="6"/>
    <n v="35"/>
    <x v="5"/>
  </r>
  <r>
    <x v="7"/>
    <x v="3"/>
    <x v="2"/>
    <n v="26000"/>
    <x v="7"/>
    <n v="25"/>
    <x v="5"/>
  </r>
  <r>
    <x v="8"/>
    <x v="0"/>
    <x v="0"/>
    <n v="32000"/>
    <x v="8"/>
    <n v="55"/>
    <x v="6"/>
  </r>
  <r>
    <x v="9"/>
    <x v="1"/>
    <x v="1"/>
    <n v="9000"/>
    <x v="9"/>
    <n v="120"/>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A1DA51-80FA-4728-8B81-843300F694D4}" name="Monthly Sale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9:C18" firstHeaderRow="1" firstDataRow="1" firstDataCol="1"/>
  <pivotFields count="7">
    <pivotField showAll="0"/>
    <pivotField showAll="0">
      <items count="5">
        <item x="1"/>
        <item x="0"/>
        <item x="3"/>
        <item x="2"/>
        <item t="default"/>
      </items>
    </pivotField>
    <pivotField showAll="0">
      <items count="5">
        <item x="0"/>
        <item x="2"/>
        <item x="3"/>
        <item x="1"/>
        <item t="default"/>
      </items>
    </pivotField>
    <pivotField dataField="1" showAll="0"/>
    <pivotField showAll="0"/>
    <pivotField showAll="0"/>
    <pivotField axis="axisRow" showAll="0">
      <items count="9">
        <item x="3"/>
        <item x="1"/>
        <item x="2"/>
        <item x="0"/>
        <item x="5"/>
        <item x="6"/>
        <item x="4"/>
        <item x="7"/>
        <item t="default"/>
      </items>
    </pivotField>
  </pivotFields>
  <rowFields count="1">
    <field x="6"/>
  </rowFields>
  <rowItems count="9">
    <i>
      <x/>
    </i>
    <i>
      <x v="1"/>
    </i>
    <i>
      <x v="2"/>
    </i>
    <i>
      <x v="3"/>
    </i>
    <i>
      <x v="4"/>
    </i>
    <i>
      <x v="5"/>
    </i>
    <i>
      <x v="6"/>
    </i>
    <i>
      <x v="7"/>
    </i>
    <i t="grand">
      <x/>
    </i>
  </rowItems>
  <colItems count="1">
    <i/>
  </colItems>
  <dataFields count="1">
    <dataField name="Sum of Sales" fld="3" baseField="0" baseItem="0"/>
  </dataFields>
  <formats count="2">
    <format dxfId="60">
      <pivotArea collapsedLevelsAreSubtotals="1" fieldPosition="0">
        <references count="1">
          <reference field="6" count="0"/>
        </references>
      </pivotArea>
    </format>
    <format dxfId="59">
      <pivotArea grandRow="1"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38D978-EBC6-413C-A0BF-9DDB1E33128D}" name="Top 10 Product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1:H12" firstHeaderRow="1" firstDataRow="1" firstDataCol="1"/>
  <pivotFields count="7">
    <pivotField axis="axisRow" showAll="0" measureFilter="1" sortType="descending">
      <items count="11">
        <item x="9"/>
        <item x="8"/>
        <item x="5"/>
        <item x="3"/>
        <item x="4"/>
        <item x="1"/>
        <item x="0"/>
        <item x="2"/>
        <item x="7"/>
        <item x="6"/>
        <item t="default"/>
      </items>
    </pivotField>
    <pivotField showAll="0">
      <items count="5">
        <item x="1"/>
        <item x="0"/>
        <item x="3"/>
        <item x="2"/>
        <item t="default"/>
      </items>
    </pivotField>
    <pivotField showAll="0">
      <items count="5">
        <item x="0"/>
        <item x="2"/>
        <item x="3"/>
        <item x="1"/>
        <item t="default"/>
      </items>
    </pivotField>
    <pivotField dataField="1" showAll="0"/>
    <pivotField showAll="0"/>
    <pivotField showAll="0"/>
    <pivotField showAll="0"/>
  </pivotFields>
  <rowFields count="1">
    <field x="0"/>
  </rowFields>
  <rowItems count="11">
    <i>
      <x/>
    </i>
    <i>
      <x v="1"/>
    </i>
    <i>
      <x v="2"/>
    </i>
    <i>
      <x v="3"/>
    </i>
    <i>
      <x v="4"/>
    </i>
    <i>
      <x v="5"/>
    </i>
    <i>
      <x v="6"/>
    </i>
    <i>
      <x v="7"/>
    </i>
    <i>
      <x v="8"/>
    </i>
    <i>
      <x v="9"/>
    </i>
    <i t="grand">
      <x/>
    </i>
  </rowItems>
  <colItems count="1">
    <i/>
  </colItems>
  <dataFields count="1">
    <dataField name="Sum of Sales" fld="3" baseField="0" baseItem="0" numFmtId="44"/>
  </dataFields>
  <formats count="1">
    <format dxfId="58">
      <pivotArea outline="0" collapsedLevelsAreSubtotals="1" fieldPosition="0"/>
    </format>
  </formats>
  <chartFormats count="1">
    <chartFormat chart="2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0DF619-E127-4165-9A6A-0C97E636B737}" name="Profit by Category"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6" firstHeaderRow="1" firstDataRow="1" firstDataCol="1"/>
  <pivotFields count="7">
    <pivotField showAll="0"/>
    <pivotField axis="axisRow" showAll="0">
      <items count="5">
        <item x="1"/>
        <item x="0"/>
        <item x="3"/>
        <item x="2"/>
        <item t="default"/>
      </items>
    </pivotField>
    <pivotField showAll="0">
      <items count="5">
        <item x="0"/>
        <item x="2"/>
        <item x="3"/>
        <item x="1"/>
        <item t="default"/>
      </items>
    </pivotField>
    <pivotField showAll="0"/>
    <pivotField dataField="1" showAll="0">
      <items count="11">
        <item x="3"/>
        <item x="2"/>
        <item x="9"/>
        <item x="6"/>
        <item x="5"/>
        <item x="4"/>
        <item x="7"/>
        <item x="8"/>
        <item x="1"/>
        <item x="0"/>
        <item t="default"/>
      </items>
    </pivotField>
    <pivotField showAll="0"/>
    <pivotField showAll="0"/>
  </pivotFields>
  <rowFields count="1">
    <field x="1"/>
  </rowFields>
  <rowItems count="5">
    <i>
      <x/>
    </i>
    <i>
      <x v="1"/>
    </i>
    <i>
      <x v="2"/>
    </i>
    <i>
      <x v="3"/>
    </i>
    <i t="grand">
      <x/>
    </i>
  </rowItems>
  <colItems count="1">
    <i/>
  </colItems>
  <dataFields count="1">
    <dataField name="Sum of Profit" fld="4" baseField="0" baseItem="0" numFmtId="44"/>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01247D-A17D-46E5-8702-7758BB1D3674}" name="Sales by Reg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6" firstHeaderRow="1" firstDataRow="1" firstDataCol="1"/>
  <pivotFields count="7">
    <pivotField showAll="0"/>
    <pivotField showAll="0">
      <items count="5">
        <item x="1"/>
        <item x="0"/>
        <item x="3"/>
        <item x="2"/>
        <item t="default"/>
      </items>
    </pivotField>
    <pivotField axis="axisRow" showAll="0">
      <items count="5">
        <item x="0"/>
        <item x="2"/>
        <item x="3"/>
        <item x="1"/>
        <item t="default"/>
      </items>
    </pivotField>
    <pivotField dataField="1" showAll="0"/>
    <pivotField showAll="0"/>
    <pivotField showAll="0"/>
    <pivotField showAll="0"/>
  </pivotFields>
  <rowFields count="1">
    <field x="2"/>
  </rowFields>
  <rowItems count="5">
    <i>
      <x/>
    </i>
    <i>
      <x v="1"/>
    </i>
    <i>
      <x v="2"/>
    </i>
    <i>
      <x v="3"/>
    </i>
    <i t="grand">
      <x/>
    </i>
  </rowItems>
  <colItems count="1">
    <i/>
  </colItems>
  <dataFields count="1">
    <dataField name="Sum of Sales" fld="3" baseField="0" baseItem="0" numFmtId="44"/>
  </dataFields>
  <formats count="1">
    <format dxfId="56">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3FC9CB-7A27-4418-8DE2-088CD09A5B8B}" sourceName="Category">
  <pivotTables>
    <pivotTable tabId="3" name="Sales by Region"/>
    <pivotTable tabId="3" name="Monthly Sales"/>
    <pivotTable tabId="3" name="Profit by Category"/>
    <pivotTable tabId="3" name="Top 10 Products"/>
  </pivotTables>
  <data>
    <tabular pivotCacheId="1755832711">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D79470-7F19-4632-81AF-9D1CABF8EEF4}" sourceName="Region">
  <pivotTables>
    <pivotTable tabId="3" name="Sales by Region"/>
    <pivotTable tabId="3" name="Monthly Sales"/>
    <pivotTable tabId="3" name="Profit by Category"/>
    <pivotTable tabId="3" name="Top 10 Products"/>
  </pivotTables>
  <data>
    <tabular pivotCacheId="1755832711">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5012FF1-A6FD-4310-A9E8-C9ECC76E7D53}" cache="Slicer_Category" caption="Category" rowHeight="244336"/>
  <slicer name="Region" xr10:uid="{92E20A5D-4BF2-4163-BF9A-2E85BA9AF465}" cache="Slicer_Region" caption="Region" rowHeight="24433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61B7F2-8BEF-48A9-A198-D99C071452F0}" name="Table1" displayName="Table1" ref="A1:Q11" totalsRowShown="0" headerRowDxfId="81" dataDxfId="86">
  <autoFilter ref="A1:Q11" xr:uid="{0D61B7F2-8BEF-48A9-A198-D99C071452F0}"/>
  <tableColumns count="17">
    <tableColumn id="1" xr3:uid="{30EEC79F-6F41-4648-B064-17BC98CACD2F}" name="Product" dataDxfId="88"/>
    <tableColumn id="2" xr3:uid="{E466F1E4-0E3A-4B39-8711-1935CF297EE0}" name="Category" dataDxfId="87"/>
    <tableColumn id="3" xr3:uid="{9A10984C-1F79-40DB-B1EA-9F34533034FE}" name="Region" dataDxfId="85"/>
    <tableColumn id="4" xr3:uid="{D37054C7-AACE-47C7-9F51-602D529FA877}" name="Sales" dataDxfId="84"/>
    <tableColumn id="5" xr3:uid="{03B1F5DF-F4EA-4DCE-BE28-D662B9F0E172}" name="Profit" dataDxfId="83"/>
    <tableColumn id="6" xr3:uid="{A886467C-F533-4038-8BE1-47504425D559}" name="Quantity" dataDxfId="82"/>
    <tableColumn id="7" xr3:uid="{2D39C97D-7125-45C5-A358-5F203428F4E4}" name="Total Sales" dataDxfId="80">
      <calculatedColumnFormula>SUM(D2:D11)</calculatedColumnFormula>
    </tableColumn>
    <tableColumn id="8" xr3:uid="{ABE47F86-6AB1-44CE-8899-B04CB9DAD1C1}" name="Average Sales" dataDxfId="79">
      <calculatedColumnFormula>AVERAGE(D2:D11)</calculatedColumnFormula>
    </tableColumn>
    <tableColumn id="9" xr3:uid="{93AD4288-E172-4490-A77B-2A859027C455}" name="Highest Sale" dataDxfId="77">
      <calculatedColumnFormula>MAX(Table1[Sales])</calculatedColumnFormula>
    </tableColumn>
    <tableColumn id="10" xr3:uid="{0803451D-412F-42D7-A758-12CE1F98E874}" name="Lowest Sale" dataDxfId="78">
      <calculatedColumnFormula>MIN(Table1[Sales])</calculatedColumnFormula>
    </tableColumn>
    <tableColumn id="11" xr3:uid="{355A5A8F-438A-4428-80DD-373CBC84582C}" name="Number of Products" dataDxfId="76">
      <calculatedColumnFormula>COUNTA(Table1[Product])</calculatedColumnFormula>
    </tableColumn>
    <tableColumn id="12" xr3:uid="{2CD9069F-E491-45BB-B857-F700B98B13D6}" name="Total Profit" dataDxfId="75">
      <calculatedColumnFormula>SUM(E2:E11)</calculatedColumnFormula>
    </tableColumn>
    <tableColumn id="13" xr3:uid="{CC82CD5E-4E1C-4DAF-A242-9CC4AA8DCC51}" name="Average Profit" dataDxfId="74">
      <calculatedColumnFormula>AVERAGE(E2:E11)</calculatedColumnFormula>
    </tableColumn>
    <tableColumn id="14" xr3:uid="{8F2D6A7C-3CB5-4E6F-8308-62308C1495D8}" name="Total Quantity" dataDxfId="73">
      <calculatedColumnFormula>SUM(Table1[Quantity])</calculatedColumnFormula>
    </tableColumn>
    <tableColumn id="15" xr3:uid="{BE82F9B7-C23E-4E7B-8115-0AC5903707F6}" name="Performance" dataDxfId="72">
      <calculatedColumnFormula>IF(D2&gt;=25000,"High","Low")</calculatedColumnFormula>
    </tableColumn>
    <tableColumn id="16" xr3:uid="{87FB8980-220A-4FB2-80A1-D7C8308D772B}" name="Bonus Elegible" dataDxfId="71">
      <calculatedColumnFormula>IF(AND(D2&gt;=25000,E2&gt;=5000),"Yes","No")</calculatedColumnFormula>
    </tableColumn>
    <tableColumn id="17" xr3:uid="{9F50DAF1-0C0D-4D20-A38A-C368F4DBDADF}" name="Priority Product" dataDxfId="70">
      <calculatedColumnFormula>IF(OR(D2&gt;=30000,F2&gt;=100),"Yes","No")</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1038AC-5797-4665-AF07-AD06FCE0562F}" name="Table2" displayName="Table2" ref="A1:G11" totalsRowShown="0" headerRowDxfId="66" dataDxfId="67">
  <autoFilter ref="A1:G11" xr:uid="{B81038AC-5797-4665-AF07-AD06FCE0562F}"/>
  <tableColumns count="7">
    <tableColumn id="1" xr3:uid="{6EE2815C-CABB-44FD-9212-4781D85E82D4}" name="Product" dataDxfId="69"/>
    <tableColumn id="2" xr3:uid="{D263CED6-4FE0-42BE-A9DF-9BC4C456BA9F}" name="Category" dataDxfId="68"/>
    <tableColumn id="3" xr3:uid="{63B37087-6765-4F6E-B513-F00107FF5A74}" name="Region" dataDxfId="65"/>
    <tableColumn id="4" xr3:uid="{6E0A78EE-A450-4F05-89EF-2530585C3175}" name="Sales" dataDxfId="64"/>
    <tableColumn id="5" xr3:uid="{481B80CA-4057-4CE6-BB5E-C4BF953C5CEA}" name="Profit" dataDxfId="63"/>
    <tableColumn id="6" xr3:uid="{4FB406CC-1C7F-4290-BC0E-D01D4921483E}" name="Quantity" dataDxfId="62"/>
    <tableColumn id="7" xr3:uid="{A3A877D7-B078-4DDE-AF1D-150F57212168}" name="Month" dataDxfId="6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9A304-93EE-4D6A-8B35-DB62B64EC6A4}">
  <dimension ref="A1:Q11"/>
  <sheetViews>
    <sheetView topLeftCell="K1" workbookViewId="0">
      <selection activeCell="Q2" sqref="Q2"/>
    </sheetView>
  </sheetViews>
  <sheetFormatPr defaultRowHeight="15.05" x14ac:dyDescent="0.3"/>
  <cols>
    <col min="1" max="1" width="9.44140625" customWidth="1"/>
    <col min="2" max="2" width="12.77734375" bestFit="1" customWidth="1"/>
    <col min="3" max="3" width="11" bestFit="1" customWidth="1"/>
    <col min="4" max="4" width="9.44140625" bestFit="1" customWidth="1"/>
    <col min="5" max="5" width="9.88671875" bestFit="1" customWidth="1"/>
    <col min="6" max="6" width="12.5546875" bestFit="1" customWidth="1"/>
    <col min="7" max="7" width="11.88671875" customWidth="1"/>
    <col min="8" max="8" width="13.33203125" customWidth="1"/>
    <col min="9" max="9" width="12.6640625" customWidth="1"/>
    <col min="10" max="10" width="14" customWidth="1"/>
    <col min="11" max="11" width="21.5546875" customWidth="1"/>
    <col min="12" max="12" width="15.33203125" customWidth="1"/>
    <col min="13" max="14" width="14.6640625" customWidth="1"/>
    <col min="15" max="15" width="13.109375" bestFit="1" customWidth="1"/>
    <col min="16" max="16" width="14.77734375" customWidth="1"/>
    <col min="17" max="17" width="16.77734375" customWidth="1"/>
  </cols>
  <sheetData>
    <row r="1" spans="1:17" ht="30.05" x14ac:dyDescent="0.3">
      <c r="A1" s="2" t="s">
        <v>0</v>
      </c>
      <c r="B1" s="2" t="s">
        <v>1</v>
      </c>
      <c r="C1" s="2" t="s">
        <v>2</v>
      </c>
      <c r="D1" s="2" t="s">
        <v>3</v>
      </c>
      <c r="E1" s="2" t="s">
        <v>4</v>
      </c>
      <c r="F1" s="2" t="s">
        <v>5</v>
      </c>
      <c r="G1" s="2" t="s">
        <v>24</v>
      </c>
      <c r="H1" s="2" t="s">
        <v>25</v>
      </c>
      <c r="I1" s="2" t="s">
        <v>26</v>
      </c>
      <c r="J1" s="2" t="s">
        <v>27</v>
      </c>
      <c r="K1" s="2" t="s">
        <v>28</v>
      </c>
      <c r="L1" s="2" t="s">
        <v>29</v>
      </c>
      <c r="M1" s="2" t="s">
        <v>30</v>
      </c>
      <c r="N1" s="2" t="s">
        <v>31</v>
      </c>
      <c r="O1" s="2" t="s">
        <v>32</v>
      </c>
      <c r="P1" s="2" t="s">
        <v>33</v>
      </c>
      <c r="Q1" s="2" t="s">
        <v>34</v>
      </c>
    </row>
    <row r="2" spans="1:17" x14ac:dyDescent="0.3">
      <c r="A2" s="4" t="s">
        <v>6</v>
      </c>
      <c r="B2" s="4" t="s">
        <v>7</v>
      </c>
      <c r="C2" s="4" t="s">
        <v>8</v>
      </c>
      <c r="D2" s="1">
        <v>45000</v>
      </c>
      <c r="E2" s="1">
        <v>8000</v>
      </c>
      <c r="F2" s="1">
        <v>45</v>
      </c>
      <c r="G2" s="3">
        <f t="shared" ref="G2:G11" si="0">SUM(D2:D11)</f>
        <v>216000</v>
      </c>
      <c r="H2" s="5">
        <f t="shared" ref="H2:H11" si="1">AVERAGE(D2:D11)</f>
        <v>21600</v>
      </c>
      <c r="I2" s="3">
        <f>MAX(Table1[Sales])</f>
        <v>45000</v>
      </c>
      <c r="J2" s="3">
        <f>MIN(Table1[Sales])</f>
        <v>5000</v>
      </c>
      <c r="K2" s="3">
        <f>COUNTA(Table1[Product])</f>
        <v>10</v>
      </c>
      <c r="L2" s="3">
        <f t="shared" ref="L2:L11" si="2">SUM(E2:E11)</f>
        <v>40100</v>
      </c>
      <c r="M2" s="5">
        <f t="shared" ref="M2:M11" si="3">AVERAGE(E2:E11)</f>
        <v>4010</v>
      </c>
      <c r="N2" s="3">
        <f>SUM(Table1[Quantity])</f>
        <v>810</v>
      </c>
      <c r="O2" s="6" t="str">
        <f t="shared" ref="O2:O11" si="4">IF(D2&gt;=25000,"High","Low")</f>
        <v>High</v>
      </c>
      <c r="P2" s="6" t="str">
        <f t="shared" ref="P2:P11" si="5">IF(AND(D2&gt;=25000,E2&gt;=5000),"Yes","No")</f>
        <v>Yes</v>
      </c>
      <c r="Q2" s="6" t="str">
        <f t="shared" ref="Q2:Q11" si="6">IF(OR(D2&gt;=30000,F2&gt;=100),"Yes","No")</f>
        <v>Yes</v>
      </c>
    </row>
    <row r="3" spans="1:17" x14ac:dyDescent="0.3">
      <c r="A3" s="4" t="s">
        <v>9</v>
      </c>
      <c r="B3" s="4" t="s">
        <v>7</v>
      </c>
      <c r="C3" s="4" t="s">
        <v>10</v>
      </c>
      <c r="D3" s="1">
        <v>38000</v>
      </c>
      <c r="E3" s="1">
        <v>6500</v>
      </c>
      <c r="F3" s="1">
        <v>80</v>
      </c>
      <c r="G3" s="3">
        <f t="shared" si="0"/>
        <v>171000</v>
      </c>
      <c r="H3" s="5">
        <f t="shared" si="1"/>
        <v>19000</v>
      </c>
      <c r="I3" s="3">
        <f>MAX(Table1[Sales])</f>
        <v>45000</v>
      </c>
      <c r="J3" s="3">
        <f>MIN(Table1[Sales])</f>
        <v>5000</v>
      </c>
      <c r="K3" s="3">
        <f>COUNTA(Table1[Product])</f>
        <v>10</v>
      </c>
      <c r="L3" s="3">
        <f t="shared" si="2"/>
        <v>32100</v>
      </c>
      <c r="M3" s="5">
        <f t="shared" si="3"/>
        <v>3566.6666666666665</v>
      </c>
      <c r="N3" s="3">
        <f>SUM(Table1[Quantity])</f>
        <v>810</v>
      </c>
      <c r="O3" s="6" t="str">
        <f t="shared" si="4"/>
        <v>High</v>
      </c>
      <c r="P3" s="6" t="str">
        <f t="shared" si="5"/>
        <v>Yes</v>
      </c>
      <c r="Q3" s="6" t="str">
        <f t="shared" si="6"/>
        <v>Yes</v>
      </c>
    </row>
    <row r="4" spans="1:17" x14ac:dyDescent="0.3">
      <c r="A4" s="4" t="s">
        <v>11</v>
      </c>
      <c r="B4" s="4" t="s">
        <v>12</v>
      </c>
      <c r="C4" s="4" t="s">
        <v>13</v>
      </c>
      <c r="D4" s="1">
        <v>7000</v>
      </c>
      <c r="E4" s="1">
        <v>1500</v>
      </c>
      <c r="F4" s="1">
        <v>150</v>
      </c>
      <c r="G4" s="3">
        <f t="shared" si="0"/>
        <v>133000</v>
      </c>
      <c r="H4" s="5">
        <f t="shared" si="1"/>
        <v>16625</v>
      </c>
      <c r="I4" s="3">
        <f>MAX(Table1[Sales])</f>
        <v>45000</v>
      </c>
      <c r="J4" s="3">
        <f>MIN(Table1[Sales])</f>
        <v>5000</v>
      </c>
      <c r="K4" s="3">
        <f>COUNTA(Table1[Product])</f>
        <v>10</v>
      </c>
      <c r="L4" s="3">
        <f t="shared" si="2"/>
        <v>25600</v>
      </c>
      <c r="M4" s="5">
        <f t="shared" si="3"/>
        <v>3200</v>
      </c>
      <c r="N4" s="3">
        <f>SUM(Table1[Quantity])</f>
        <v>810</v>
      </c>
      <c r="O4" s="6" t="str">
        <f t="shared" si="4"/>
        <v>Low</v>
      </c>
      <c r="P4" s="6" t="str">
        <f t="shared" si="5"/>
        <v>No</v>
      </c>
      <c r="Q4" s="6" t="str">
        <f t="shared" si="6"/>
        <v>Yes</v>
      </c>
    </row>
    <row r="5" spans="1:17" x14ac:dyDescent="0.3">
      <c r="A5" s="4" t="s">
        <v>14</v>
      </c>
      <c r="B5" s="4" t="s">
        <v>12</v>
      </c>
      <c r="C5" s="4" t="s">
        <v>15</v>
      </c>
      <c r="D5" s="1">
        <v>5000</v>
      </c>
      <c r="E5" s="1">
        <v>1000</v>
      </c>
      <c r="F5" s="1">
        <v>200</v>
      </c>
      <c r="G5" s="3">
        <f t="shared" si="0"/>
        <v>126000</v>
      </c>
      <c r="H5" s="5">
        <f t="shared" si="1"/>
        <v>18000</v>
      </c>
      <c r="I5" s="3">
        <f>MAX(Table1[Sales])</f>
        <v>45000</v>
      </c>
      <c r="J5" s="3">
        <f>MIN(Table1[Sales])</f>
        <v>5000</v>
      </c>
      <c r="K5" s="3">
        <f>COUNTA(Table1[Product])</f>
        <v>10</v>
      </c>
      <c r="L5" s="3">
        <f t="shared" si="2"/>
        <v>24100</v>
      </c>
      <c r="M5" s="5">
        <f t="shared" si="3"/>
        <v>3442.8571428571427</v>
      </c>
      <c r="N5" s="3">
        <f>SUM(Table1[Quantity])</f>
        <v>810</v>
      </c>
      <c r="O5" s="6" t="str">
        <f t="shared" si="4"/>
        <v>Low</v>
      </c>
      <c r="P5" s="6" t="str">
        <f t="shared" si="5"/>
        <v>No</v>
      </c>
      <c r="Q5" s="6" t="str">
        <f t="shared" si="6"/>
        <v>Yes</v>
      </c>
    </row>
    <row r="6" spans="1:17" x14ac:dyDescent="0.3">
      <c r="A6" s="4" t="s">
        <v>16</v>
      </c>
      <c r="B6" s="4" t="s">
        <v>7</v>
      </c>
      <c r="C6" s="4" t="s">
        <v>8</v>
      </c>
      <c r="D6" s="1">
        <v>22000</v>
      </c>
      <c r="E6" s="1">
        <v>4000</v>
      </c>
      <c r="F6" s="1">
        <v>60</v>
      </c>
      <c r="G6" s="3">
        <f t="shared" si="0"/>
        <v>121000</v>
      </c>
      <c r="H6" s="5">
        <f t="shared" si="1"/>
        <v>20166.666666666668</v>
      </c>
      <c r="I6" s="3">
        <f>MAX(Table1[Sales])</f>
        <v>45000</v>
      </c>
      <c r="J6" s="3">
        <f>MIN(Table1[Sales])</f>
        <v>5000</v>
      </c>
      <c r="K6" s="3">
        <f>COUNTA(Table1[Product])</f>
        <v>10</v>
      </c>
      <c r="L6" s="3">
        <f t="shared" si="2"/>
        <v>23100</v>
      </c>
      <c r="M6" s="5">
        <f t="shared" si="3"/>
        <v>3850</v>
      </c>
      <c r="N6" s="3">
        <f>SUM(Table1[Quantity])</f>
        <v>810</v>
      </c>
      <c r="O6" s="6" t="str">
        <f t="shared" si="4"/>
        <v>Low</v>
      </c>
      <c r="P6" s="6" t="str">
        <f t="shared" si="5"/>
        <v>No</v>
      </c>
      <c r="Q6" s="6" t="str">
        <f t="shared" si="6"/>
        <v>No</v>
      </c>
    </row>
    <row r="7" spans="1:17" x14ac:dyDescent="0.3">
      <c r="A7" s="4" t="s">
        <v>17</v>
      </c>
      <c r="B7" s="4" t="s">
        <v>18</v>
      </c>
      <c r="C7" s="4" t="s">
        <v>10</v>
      </c>
      <c r="D7" s="1">
        <v>18000</v>
      </c>
      <c r="E7" s="1">
        <v>3500</v>
      </c>
      <c r="F7" s="1">
        <v>40</v>
      </c>
      <c r="G7" s="3">
        <f t="shared" si="0"/>
        <v>99000</v>
      </c>
      <c r="H7" s="5">
        <f t="shared" si="1"/>
        <v>19800</v>
      </c>
      <c r="I7" s="3">
        <f>MAX(Table1[Sales])</f>
        <v>45000</v>
      </c>
      <c r="J7" s="3">
        <f>MIN(Table1[Sales])</f>
        <v>5000</v>
      </c>
      <c r="K7" s="3">
        <f>COUNTA(Table1[Product])</f>
        <v>10</v>
      </c>
      <c r="L7" s="3">
        <f t="shared" si="2"/>
        <v>19100</v>
      </c>
      <c r="M7" s="5">
        <f t="shared" si="3"/>
        <v>3820</v>
      </c>
      <c r="N7" s="3">
        <f>SUM(Table1[Quantity])</f>
        <v>810</v>
      </c>
      <c r="O7" s="6" t="str">
        <f t="shared" si="4"/>
        <v>Low</v>
      </c>
      <c r="P7" s="6" t="str">
        <f t="shared" si="5"/>
        <v>No</v>
      </c>
      <c r="Q7" s="6" t="str">
        <f t="shared" si="6"/>
        <v>No</v>
      </c>
    </row>
    <row r="8" spans="1:17" x14ac:dyDescent="0.3">
      <c r="A8" s="4" t="s">
        <v>19</v>
      </c>
      <c r="B8" s="4" t="s">
        <v>20</v>
      </c>
      <c r="C8" s="4" t="s">
        <v>15</v>
      </c>
      <c r="D8" s="1">
        <v>14000</v>
      </c>
      <c r="E8" s="1">
        <v>2800</v>
      </c>
      <c r="F8" s="1">
        <v>35</v>
      </c>
      <c r="G8" s="3">
        <f t="shared" si="0"/>
        <v>81000</v>
      </c>
      <c r="H8" s="5">
        <f t="shared" si="1"/>
        <v>20250</v>
      </c>
      <c r="I8" s="3">
        <f>MAX(Table1[Sales])</f>
        <v>45000</v>
      </c>
      <c r="J8" s="3">
        <f>MIN(Table1[Sales])</f>
        <v>5000</v>
      </c>
      <c r="K8" s="3">
        <f>COUNTA(Table1[Product])</f>
        <v>10</v>
      </c>
      <c r="L8" s="3">
        <f t="shared" si="2"/>
        <v>15600</v>
      </c>
      <c r="M8" s="5">
        <f t="shared" si="3"/>
        <v>3900</v>
      </c>
      <c r="N8" s="3">
        <f>SUM(Table1[Quantity])</f>
        <v>810</v>
      </c>
      <c r="O8" s="6" t="str">
        <f t="shared" si="4"/>
        <v>Low</v>
      </c>
      <c r="P8" s="6" t="str">
        <f t="shared" si="5"/>
        <v>No</v>
      </c>
      <c r="Q8" s="6" t="str">
        <f t="shared" si="6"/>
        <v>No</v>
      </c>
    </row>
    <row r="9" spans="1:17" x14ac:dyDescent="0.3">
      <c r="A9" s="4" t="s">
        <v>21</v>
      </c>
      <c r="B9" s="4" t="s">
        <v>20</v>
      </c>
      <c r="C9" s="4" t="s">
        <v>13</v>
      </c>
      <c r="D9" s="1">
        <v>26000</v>
      </c>
      <c r="E9" s="1">
        <v>5000</v>
      </c>
      <c r="F9" s="1">
        <v>25</v>
      </c>
      <c r="G9" s="3">
        <f t="shared" si="0"/>
        <v>67000</v>
      </c>
      <c r="H9" s="5">
        <f t="shared" si="1"/>
        <v>22333.333333333332</v>
      </c>
      <c r="I9" s="3">
        <f>MAX(Table1[Sales])</f>
        <v>45000</v>
      </c>
      <c r="J9" s="3">
        <f>MIN(Table1[Sales])</f>
        <v>5000</v>
      </c>
      <c r="K9" s="3">
        <f>COUNTA(Table1[Product])</f>
        <v>10</v>
      </c>
      <c r="L9" s="3">
        <f t="shared" si="2"/>
        <v>12800</v>
      </c>
      <c r="M9" s="5">
        <f t="shared" si="3"/>
        <v>4266.666666666667</v>
      </c>
      <c r="N9" s="3">
        <f>SUM(Table1[Quantity])</f>
        <v>810</v>
      </c>
      <c r="O9" s="6" t="str">
        <f t="shared" si="4"/>
        <v>High</v>
      </c>
      <c r="P9" s="6" t="str">
        <f t="shared" si="5"/>
        <v>Yes</v>
      </c>
      <c r="Q9" s="6" t="str">
        <f t="shared" si="6"/>
        <v>No</v>
      </c>
    </row>
    <row r="10" spans="1:17" x14ac:dyDescent="0.3">
      <c r="A10" s="4" t="s">
        <v>22</v>
      </c>
      <c r="B10" s="4" t="s">
        <v>7</v>
      </c>
      <c r="C10" s="4" t="s">
        <v>8</v>
      </c>
      <c r="D10" s="1">
        <v>32000</v>
      </c>
      <c r="E10" s="1">
        <v>6000</v>
      </c>
      <c r="F10" s="1">
        <v>55</v>
      </c>
      <c r="G10" s="3">
        <f t="shared" si="0"/>
        <v>41000</v>
      </c>
      <c r="H10" s="5">
        <f t="shared" si="1"/>
        <v>20500</v>
      </c>
      <c r="I10" s="3">
        <f>MAX(Table1[Sales])</f>
        <v>45000</v>
      </c>
      <c r="J10" s="3">
        <f>MIN(Table1[Sales])</f>
        <v>5000</v>
      </c>
      <c r="K10" s="3">
        <f>COUNTA(Table1[Product])</f>
        <v>10</v>
      </c>
      <c r="L10" s="3">
        <f t="shared" si="2"/>
        <v>7800</v>
      </c>
      <c r="M10" s="5">
        <f t="shared" si="3"/>
        <v>3900</v>
      </c>
      <c r="N10" s="3">
        <f>SUM(Table1[Quantity])</f>
        <v>810</v>
      </c>
      <c r="O10" s="6" t="str">
        <f t="shared" si="4"/>
        <v>High</v>
      </c>
      <c r="P10" s="6" t="str">
        <f t="shared" si="5"/>
        <v>Yes</v>
      </c>
      <c r="Q10" s="6" t="str">
        <f t="shared" si="6"/>
        <v>Yes</v>
      </c>
    </row>
    <row r="11" spans="1:17" x14ac:dyDescent="0.3">
      <c r="A11" s="4" t="s">
        <v>23</v>
      </c>
      <c r="B11" s="4" t="s">
        <v>12</v>
      </c>
      <c r="C11" s="4" t="s">
        <v>10</v>
      </c>
      <c r="D11" s="1">
        <v>9000</v>
      </c>
      <c r="E11" s="1">
        <v>1800</v>
      </c>
      <c r="F11" s="1">
        <v>120</v>
      </c>
      <c r="G11" s="3">
        <f t="shared" si="0"/>
        <v>9000</v>
      </c>
      <c r="H11" s="5">
        <f t="shared" si="1"/>
        <v>9000</v>
      </c>
      <c r="I11" s="3">
        <f>MAX(Table1[Sales])</f>
        <v>45000</v>
      </c>
      <c r="J11" s="3">
        <f>MIN(Table1[Sales])</f>
        <v>5000</v>
      </c>
      <c r="K11" s="3">
        <f>COUNTA(Table1[Product])</f>
        <v>10</v>
      </c>
      <c r="L11" s="3">
        <f t="shared" si="2"/>
        <v>1800</v>
      </c>
      <c r="M11" s="5">
        <f t="shared" si="3"/>
        <v>1800</v>
      </c>
      <c r="N11" s="3">
        <f>SUM(Table1[Quantity])</f>
        <v>810</v>
      </c>
      <c r="O11" s="6" t="str">
        <f t="shared" si="4"/>
        <v>Low</v>
      </c>
      <c r="P11" s="6" t="str">
        <f t="shared" si="5"/>
        <v>No</v>
      </c>
      <c r="Q11" s="6" t="str">
        <f t="shared" si="6"/>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903C0-D594-467A-BE61-8BD8777E1DA1}">
  <dimension ref="A1:I14"/>
  <sheetViews>
    <sheetView workbookViewId="0">
      <selection activeCell="E21" sqref="E21"/>
    </sheetView>
  </sheetViews>
  <sheetFormatPr defaultRowHeight="15.05" x14ac:dyDescent="0.3"/>
  <cols>
    <col min="1" max="1" width="11.88671875" bestFit="1" customWidth="1"/>
    <col min="2" max="2" width="12.77734375" bestFit="1" customWidth="1"/>
    <col min="3" max="3" width="11" bestFit="1" customWidth="1"/>
    <col min="4" max="4" width="14" customWidth="1"/>
    <col min="5" max="5" width="11.6640625" customWidth="1"/>
    <col min="6" max="6" width="12.5546875" bestFit="1" customWidth="1"/>
    <col min="7" max="7" width="11" bestFit="1" customWidth="1"/>
    <col min="8" max="8" width="13.88671875" bestFit="1" customWidth="1"/>
    <col min="9" max="9" width="9.88671875" bestFit="1" customWidth="1"/>
  </cols>
  <sheetData>
    <row r="1" spans="1:9" x14ac:dyDescent="0.3">
      <c r="A1" s="2" t="s">
        <v>0</v>
      </c>
      <c r="B1" s="2" t="s">
        <v>1</v>
      </c>
      <c r="C1" s="2" t="s">
        <v>2</v>
      </c>
      <c r="D1" s="2" t="s">
        <v>3</v>
      </c>
      <c r="E1" s="2" t="s">
        <v>4</v>
      </c>
      <c r="F1" s="2" t="s">
        <v>5</v>
      </c>
      <c r="G1" s="2" t="s">
        <v>38</v>
      </c>
    </row>
    <row r="2" spans="1:9" ht="15.65" x14ac:dyDescent="0.3">
      <c r="A2" s="4" t="s">
        <v>6</v>
      </c>
      <c r="B2" s="4" t="s">
        <v>7</v>
      </c>
      <c r="C2" s="4" t="s">
        <v>8</v>
      </c>
      <c r="D2" s="1">
        <v>45000</v>
      </c>
      <c r="E2" s="1">
        <v>8000</v>
      </c>
      <c r="F2" s="1">
        <v>45</v>
      </c>
      <c r="G2" s="1" t="s">
        <v>39</v>
      </c>
      <c r="H2" s="11" t="s">
        <v>35</v>
      </c>
      <c r="I2" s="11"/>
    </row>
    <row r="3" spans="1:9" x14ac:dyDescent="0.3">
      <c r="A3" s="4" t="s">
        <v>9</v>
      </c>
      <c r="B3" s="4" t="s">
        <v>7</v>
      </c>
      <c r="C3" s="4" t="s">
        <v>10</v>
      </c>
      <c r="D3" s="1">
        <v>38000</v>
      </c>
      <c r="E3" s="1">
        <v>6500</v>
      </c>
      <c r="F3" s="1">
        <v>80</v>
      </c>
      <c r="G3" s="1" t="s">
        <v>40</v>
      </c>
      <c r="H3" s="8" t="s">
        <v>36</v>
      </c>
      <c r="I3" s="10" t="s">
        <v>6</v>
      </c>
    </row>
    <row r="4" spans="1:9" x14ac:dyDescent="0.3">
      <c r="A4" s="4" t="s">
        <v>11</v>
      </c>
      <c r="B4" s="4" t="s">
        <v>12</v>
      </c>
      <c r="C4" s="4" t="s">
        <v>13</v>
      </c>
      <c r="D4" s="1">
        <v>7000</v>
      </c>
      <c r="E4" s="1">
        <v>1500</v>
      </c>
      <c r="F4" s="1">
        <v>150</v>
      </c>
      <c r="G4" s="1" t="s">
        <v>39</v>
      </c>
    </row>
    <row r="5" spans="1:9" x14ac:dyDescent="0.3">
      <c r="A5" s="4" t="s">
        <v>14</v>
      </c>
      <c r="B5" s="4" t="s">
        <v>12</v>
      </c>
      <c r="C5" s="4" t="s">
        <v>15</v>
      </c>
      <c r="D5" s="1">
        <v>5000</v>
      </c>
      <c r="E5" s="1">
        <v>1000</v>
      </c>
      <c r="F5" s="1">
        <v>200</v>
      </c>
      <c r="G5" s="1" t="s">
        <v>41</v>
      </c>
      <c r="H5" t="s">
        <v>1</v>
      </c>
      <c r="I5" s="7" t="str">
        <f>VLOOKUP(I3,$A$2:$F$11,2,FALSE)</f>
        <v>Electronics</v>
      </c>
    </row>
    <row r="6" spans="1:9" x14ac:dyDescent="0.3">
      <c r="A6" s="4" t="s">
        <v>16</v>
      </c>
      <c r="B6" s="4" t="s">
        <v>7</v>
      </c>
      <c r="C6" s="4" t="s">
        <v>8</v>
      </c>
      <c r="D6" s="1">
        <v>22000</v>
      </c>
      <c r="E6" s="1">
        <v>4000</v>
      </c>
      <c r="F6" s="1">
        <v>60</v>
      </c>
      <c r="G6" s="1" t="s">
        <v>42</v>
      </c>
      <c r="H6" t="s">
        <v>2</v>
      </c>
      <c r="I6" s="7" t="str">
        <f>VLOOKUP(I3,$A$2:$F$11,3,FALSE)</f>
        <v>East</v>
      </c>
    </row>
    <row r="7" spans="1:9" x14ac:dyDescent="0.3">
      <c r="A7" s="4" t="s">
        <v>17</v>
      </c>
      <c r="B7" s="4" t="s">
        <v>18</v>
      </c>
      <c r="C7" s="4" t="s">
        <v>10</v>
      </c>
      <c r="D7" s="1">
        <v>18000</v>
      </c>
      <c r="E7" s="1">
        <v>3500</v>
      </c>
      <c r="F7" s="1">
        <v>40</v>
      </c>
      <c r="G7" s="1" t="s">
        <v>43</v>
      </c>
      <c r="H7" t="s">
        <v>3</v>
      </c>
      <c r="I7" s="7">
        <f>VLOOKUP(I3,$A$2:$F$11,4,FALSE)</f>
        <v>45000</v>
      </c>
    </row>
    <row r="8" spans="1:9" x14ac:dyDescent="0.3">
      <c r="A8" s="4" t="s">
        <v>19</v>
      </c>
      <c r="B8" s="4" t="s">
        <v>20</v>
      </c>
      <c r="C8" s="4" t="s">
        <v>15</v>
      </c>
      <c r="D8" s="1">
        <v>14000</v>
      </c>
      <c r="E8" s="1">
        <v>2800</v>
      </c>
      <c r="F8" s="1">
        <v>35</v>
      </c>
      <c r="G8" s="1" t="s">
        <v>44</v>
      </c>
      <c r="H8" t="s">
        <v>4</v>
      </c>
      <c r="I8" s="7">
        <f>VLOOKUP(I3,$A$2:$F$11,5,FALSE)</f>
        <v>8000</v>
      </c>
    </row>
    <row r="9" spans="1:9" x14ac:dyDescent="0.3">
      <c r="A9" s="4" t="s">
        <v>21</v>
      </c>
      <c r="B9" s="4" t="s">
        <v>20</v>
      </c>
      <c r="C9" s="4" t="s">
        <v>13</v>
      </c>
      <c r="D9" s="1">
        <v>26000</v>
      </c>
      <c r="E9" s="1">
        <v>5000</v>
      </c>
      <c r="F9" s="1">
        <v>25</v>
      </c>
      <c r="G9" s="1" t="s">
        <v>44</v>
      </c>
      <c r="H9" t="s">
        <v>5</v>
      </c>
      <c r="I9" s="7">
        <f>VLOOKUP(I3,$A$2:$F$11,6,FALSE)</f>
        <v>45</v>
      </c>
    </row>
    <row r="10" spans="1:9" x14ac:dyDescent="0.3">
      <c r="A10" s="4" t="s">
        <v>22</v>
      </c>
      <c r="B10" s="4" t="s">
        <v>7</v>
      </c>
      <c r="C10" s="4" t="s">
        <v>8</v>
      </c>
      <c r="D10" s="1">
        <v>32000</v>
      </c>
      <c r="E10" s="1">
        <v>6000</v>
      </c>
      <c r="F10" s="1">
        <v>55</v>
      </c>
      <c r="G10" s="1" t="s">
        <v>45</v>
      </c>
    </row>
    <row r="11" spans="1:9" x14ac:dyDescent="0.3">
      <c r="A11" s="4" t="s">
        <v>23</v>
      </c>
      <c r="B11" s="4" t="s">
        <v>12</v>
      </c>
      <c r="C11" s="4" t="s">
        <v>10</v>
      </c>
      <c r="D11" s="1">
        <v>9000</v>
      </c>
      <c r="E11" s="1">
        <v>1800</v>
      </c>
      <c r="F11" s="1">
        <v>120</v>
      </c>
      <c r="G11" s="1" t="s">
        <v>46</v>
      </c>
    </row>
    <row r="12" spans="1:9" x14ac:dyDescent="0.3">
      <c r="H12" s="9" t="s">
        <v>37</v>
      </c>
      <c r="I12" s="9"/>
    </row>
    <row r="13" spans="1:9" x14ac:dyDescent="0.3">
      <c r="H13" t="s">
        <v>36</v>
      </c>
      <c r="I13" s="7" t="s">
        <v>14</v>
      </c>
    </row>
    <row r="14" spans="1:9" x14ac:dyDescent="0.3">
      <c r="I14" s="7">
        <f>INDEX($D$2:$D$11,MATCH(I13,$A$2:$A$11,0))</f>
        <v>5000</v>
      </c>
    </row>
  </sheetData>
  <mergeCells count="2">
    <mergeCell ref="H2:I2"/>
    <mergeCell ref="H12:I1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64D81-38CD-44E4-91CD-B50BFFE989BE}">
  <dimension ref="A1:H18"/>
  <sheetViews>
    <sheetView workbookViewId="0">
      <selection activeCell="G7" sqref="G7"/>
    </sheetView>
  </sheetViews>
  <sheetFormatPr defaultRowHeight="15.05" x14ac:dyDescent="0.3"/>
  <cols>
    <col min="1" max="2" width="12.44140625" bestFit="1" customWidth="1"/>
    <col min="3" max="3" width="12.109375" bestFit="1" customWidth="1"/>
    <col min="4" max="4" width="12.44140625" bestFit="1" customWidth="1"/>
    <col min="5" max="5" width="12.109375" bestFit="1" customWidth="1"/>
    <col min="7" max="7" width="12.44140625" bestFit="1" customWidth="1"/>
    <col min="8" max="8" width="13.109375" bestFit="1" customWidth="1"/>
    <col min="12" max="12" width="12.44140625" bestFit="1" customWidth="1"/>
    <col min="13" max="13" width="11.6640625" bestFit="1" customWidth="1"/>
  </cols>
  <sheetData>
    <row r="1" spans="1:8" x14ac:dyDescent="0.3">
      <c r="A1" s="12" t="s">
        <v>47</v>
      </c>
      <c r="B1" t="s">
        <v>49</v>
      </c>
      <c r="D1" s="12" t="s">
        <v>47</v>
      </c>
      <c r="E1" t="s">
        <v>50</v>
      </c>
      <c r="G1" s="12" t="s">
        <v>47</v>
      </c>
      <c r="H1" t="s">
        <v>49</v>
      </c>
    </row>
    <row r="2" spans="1:8" x14ac:dyDescent="0.3">
      <c r="A2" s="13" t="s">
        <v>8</v>
      </c>
      <c r="B2" s="15">
        <v>99000</v>
      </c>
      <c r="D2" s="13" t="s">
        <v>12</v>
      </c>
      <c r="E2" s="15">
        <v>4300</v>
      </c>
      <c r="G2" s="13" t="s">
        <v>23</v>
      </c>
      <c r="H2" s="15">
        <v>9000</v>
      </c>
    </row>
    <row r="3" spans="1:8" x14ac:dyDescent="0.3">
      <c r="A3" s="13" t="s">
        <v>13</v>
      </c>
      <c r="B3" s="15">
        <v>33000</v>
      </c>
      <c r="D3" s="13" t="s">
        <v>7</v>
      </c>
      <c r="E3" s="15">
        <v>24500</v>
      </c>
      <c r="G3" s="13" t="s">
        <v>22</v>
      </c>
      <c r="H3" s="15">
        <v>32000</v>
      </c>
    </row>
    <row r="4" spans="1:8" x14ac:dyDescent="0.3">
      <c r="A4" s="13" t="s">
        <v>15</v>
      </c>
      <c r="B4" s="15">
        <v>19000</v>
      </c>
      <c r="D4" s="13" t="s">
        <v>20</v>
      </c>
      <c r="E4" s="15">
        <v>7800</v>
      </c>
      <c r="G4" s="13" t="s">
        <v>17</v>
      </c>
      <c r="H4" s="15">
        <v>18000</v>
      </c>
    </row>
    <row r="5" spans="1:8" x14ac:dyDescent="0.3">
      <c r="A5" s="13" t="s">
        <v>10</v>
      </c>
      <c r="B5" s="15">
        <v>65000</v>
      </c>
      <c r="D5" s="13" t="s">
        <v>18</v>
      </c>
      <c r="E5" s="15">
        <v>3500</v>
      </c>
      <c r="G5" s="13" t="s">
        <v>14</v>
      </c>
      <c r="H5" s="15">
        <v>5000</v>
      </c>
    </row>
    <row r="6" spans="1:8" x14ac:dyDescent="0.3">
      <c r="A6" s="13" t="s">
        <v>48</v>
      </c>
      <c r="B6" s="15">
        <v>216000</v>
      </c>
      <c r="D6" s="13" t="s">
        <v>48</v>
      </c>
      <c r="E6" s="15">
        <v>40100</v>
      </c>
      <c r="G6" s="13" t="s">
        <v>16</v>
      </c>
      <c r="H6" s="15">
        <v>22000</v>
      </c>
    </row>
    <row r="7" spans="1:8" x14ac:dyDescent="0.3">
      <c r="G7" s="13" t="s">
        <v>9</v>
      </c>
      <c r="H7" s="15">
        <v>38000</v>
      </c>
    </row>
    <row r="8" spans="1:8" x14ac:dyDescent="0.3">
      <c r="G8" s="13" t="s">
        <v>6</v>
      </c>
      <c r="H8" s="15">
        <v>45000</v>
      </c>
    </row>
    <row r="9" spans="1:8" x14ac:dyDescent="0.3">
      <c r="B9" s="12" t="s">
        <v>47</v>
      </c>
      <c r="C9" t="s">
        <v>49</v>
      </c>
      <c r="G9" s="13" t="s">
        <v>11</v>
      </c>
      <c r="H9" s="15">
        <v>7000</v>
      </c>
    </row>
    <row r="10" spans="1:8" x14ac:dyDescent="0.3">
      <c r="B10" s="13" t="s">
        <v>42</v>
      </c>
      <c r="C10" s="14">
        <v>22000</v>
      </c>
      <c r="G10" s="13" t="s">
        <v>21</v>
      </c>
      <c r="H10" s="15">
        <v>26000</v>
      </c>
    </row>
    <row r="11" spans="1:8" x14ac:dyDescent="0.3">
      <c r="B11" s="13" t="s">
        <v>40</v>
      </c>
      <c r="C11" s="14">
        <v>38000</v>
      </c>
      <c r="G11" s="13" t="s">
        <v>19</v>
      </c>
      <c r="H11" s="15">
        <v>14000</v>
      </c>
    </row>
    <row r="12" spans="1:8" x14ac:dyDescent="0.3">
      <c r="B12" s="13" t="s">
        <v>41</v>
      </c>
      <c r="C12" s="14">
        <v>5000</v>
      </c>
      <c r="G12" s="13" t="s">
        <v>48</v>
      </c>
      <c r="H12" s="15">
        <v>216000</v>
      </c>
    </row>
    <row r="13" spans="1:8" x14ac:dyDescent="0.3">
      <c r="B13" s="13" t="s">
        <v>39</v>
      </c>
      <c r="C13" s="14">
        <v>52000</v>
      </c>
    </row>
    <row r="14" spans="1:8" x14ac:dyDescent="0.3">
      <c r="B14" s="13" t="s">
        <v>44</v>
      </c>
      <c r="C14" s="14">
        <v>40000</v>
      </c>
    </row>
    <row r="15" spans="1:8" x14ac:dyDescent="0.3">
      <c r="B15" s="13" t="s">
        <v>45</v>
      </c>
      <c r="C15" s="14">
        <v>32000</v>
      </c>
    </row>
    <row r="16" spans="1:8" x14ac:dyDescent="0.3">
      <c r="B16" s="13" t="s">
        <v>43</v>
      </c>
      <c r="C16" s="14">
        <v>18000</v>
      </c>
    </row>
    <row r="17" spans="2:3" x14ac:dyDescent="0.3">
      <c r="B17" s="13" t="s">
        <v>46</v>
      </c>
      <c r="C17" s="14">
        <v>9000</v>
      </c>
    </row>
    <row r="18" spans="2:3" x14ac:dyDescent="0.3">
      <c r="B18" s="13" t="s">
        <v>48</v>
      </c>
      <c r="C18" s="14">
        <v>216000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E7CCC-4626-4C39-AE49-F1F07FBB67D7}">
  <dimension ref="A1:K5"/>
  <sheetViews>
    <sheetView topLeftCell="A2" workbookViewId="0">
      <selection activeCell="D32" sqref="D32"/>
    </sheetView>
  </sheetViews>
  <sheetFormatPr defaultRowHeight="15.05" x14ac:dyDescent="0.3"/>
  <cols>
    <col min="1" max="1" width="19.109375" bestFit="1" customWidth="1"/>
    <col min="2" max="2" width="27.5546875" bestFit="1" customWidth="1"/>
    <col min="4" max="4" width="19.88671875" bestFit="1" customWidth="1"/>
    <col min="5" max="5" width="20.5546875" bestFit="1" customWidth="1"/>
    <col min="7" max="7" width="21.88671875" bestFit="1" customWidth="1"/>
    <col min="10" max="10" width="24.33203125" bestFit="1" customWidth="1"/>
    <col min="11" max="11" width="20.5546875" bestFit="1" customWidth="1"/>
  </cols>
  <sheetData>
    <row r="1" spans="1:11" ht="28.2" x14ac:dyDescent="0.5">
      <c r="A1" s="17" t="s">
        <v>24</v>
      </c>
      <c r="B1" s="18">
        <f>SUM(Table2[Sales])</f>
        <v>216000</v>
      </c>
      <c r="D1" s="17" t="s">
        <v>29</v>
      </c>
      <c r="E1" s="19">
        <f>SUM(Table2[Profit])</f>
        <v>40100</v>
      </c>
      <c r="G1" s="17" t="s">
        <v>51</v>
      </c>
      <c r="H1" s="16">
        <f>COUNTA(Table2[Product])</f>
        <v>10</v>
      </c>
      <c r="J1" s="17" t="s">
        <v>25</v>
      </c>
      <c r="K1" s="19">
        <f>AVERAGE(Table2[Sales])</f>
        <v>21600</v>
      </c>
    </row>
    <row r="5" spans="1:11" x14ac:dyDescent="0.3">
      <c r="B5"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C02CF-9E51-4CC5-80FD-2D806C64C357}">
  <dimension ref="A1:C21"/>
  <sheetViews>
    <sheetView tabSelected="1" workbookViewId="0">
      <selection activeCell="G14" sqref="G14"/>
    </sheetView>
  </sheetViews>
  <sheetFormatPr defaultRowHeight="15.05" x14ac:dyDescent="0.3"/>
  <cols>
    <col min="1" max="1" width="10.33203125" customWidth="1"/>
    <col min="2" max="2" width="53.21875" bestFit="1" customWidth="1"/>
    <col min="3" max="3" width="75.44140625" bestFit="1" customWidth="1"/>
  </cols>
  <sheetData>
    <row r="1" spans="1:3" x14ac:dyDescent="0.3">
      <c r="A1" s="20" t="s">
        <v>52</v>
      </c>
      <c r="B1" s="21" t="s">
        <v>53</v>
      </c>
      <c r="C1" s="21" t="s">
        <v>54</v>
      </c>
    </row>
    <row r="2" spans="1:3" x14ac:dyDescent="0.3">
      <c r="A2" s="22">
        <v>1</v>
      </c>
      <c r="B2" s="23" t="s">
        <v>55</v>
      </c>
      <c r="C2" s="24" t="s">
        <v>56</v>
      </c>
    </row>
    <row r="3" spans="1:3" x14ac:dyDescent="0.3">
      <c r="A3" s="22">
        <v>2</v>
      </c>
      <c r="B3" s="23" t="s">
        <v>57</v>
      </c>
      <c r="C3" s="24" t="s">
        <v>58</v>
      </c>
    </row>
    <row r="4" spans="1:3" x14ac:dyDescent="0.3">
      <c r="A4" s="22">
        <v>3</v>
      </c>
      <c r="B4" s="23" t="s">
        <v>59</v>
      </c>
      <c r="C4" s="24" t="s">
        <v>60</v>
      </c>
    </row>
    <row r="5" spans="1:3" x14ac:dyDescent="0.3">
      <c r="A5" s="22">
        <v>4</v>
      </c>
      <c r="B5" s="23" t="s">
        <v>61</v>
      </c>
      <c r="C5" s="24" t="s">
        <v>62</v>
      </c>
    </row>
    <row r="6" spans="1:3" x14ac:dyDescent="0.3">
      <c r="A6" s="22">
        <v>5</v>
      </c>
      <c r="B6" s="23" t="s">
        <v>63</v>
      </c>
      <c r="C6" s="24" t="s">
        <v>64</v>
      </c>
    </row>
    <row r="7" spans="1:3" x14ac:dyDescent="0.3">
      <c r="A7" s="22">
        <v>6</v>
      </c>
      <c r="B7" s="23" t="s">
        <v>65</v>
      </c>
      <c r="C7" s="24" t="s">
        <v>66</v>
      </c>
    </row>
    <row r="8" spans="1:3" x14ac:dyDescent="0.3">
      <c r="A8" s="22">
        <v>7</v>
      </c>
      <c r="B8" s="23" t="s">
        <v>67</v>
      </c>
      <c r="C8" s="24" t="s">
        <v>68</v>
      </c>
    </row>
    <row r="9" spans="1:3" x14ac:dyDescent="0.3">
      <c r="A9" s="22">
        <v>8</v>
      </c>
      <c r="B9" s="23" t="s">
        <v>69</v>
      </c>
      <c r="C9" s="24" t="s">
        <v>70</v>
      </c>
    </row>
    <row r="10" spans="1:3" x14ac:dyDescent="0.3">
      <c r="A10" s="22">
        <v>9</v>
      </c>
      <c r="B10" s="23" t="s">
        <v>71</v>
      </c>
      <c r="C10" s="24" t="s">
        <v>72</v>
      </c>
    </row>
    <row r="11" spans="1:3" x14ac:dyDescent="0.3">
      <c r="A11" s="22">
        <v>10</v>
      </c>
      <c r="B11" s="23" t="s">
        <v>73</v>
      </c>
      <c r="C11" s="24" t="s">
        <v>74</v>
      </c>
    </row>
    <row r="12" spans="1:3" x14ac:dyDescent="0.3">
      <c r="A12" s="22">
        <v>11</v>
      </c>
      <c r="B12" s="23" t="s">
        <v>75</v>
      </c>
      <c r="C12" s="24" t="s">
        <v>76</v>
      </c>
    </row>
    <row r="13" spans="1:3" x14ac:dyDescent="0.3">
      <c r="A13" s="22">
        <v>12</v>
      </c>
      <c r="B13" s="23" t="s">
        <v>77</v>
      </c>
      <c r="C13" s="24" t="s">
        <v>78</v>
      </c>
    </row>
    <row r="14" spans="1:3" x14ac:dyDescent="0.3">
      <c r="A14" s="22">
        <v>13</v>
      </c>
      <c r="B14" s="23" t="s">
        <v>79</v>
      </c>
      <c r="C14" s="24" t="s">
        <v>80</v>
      </c>
    </row>
    <row r="15" spans="1:3" x14ac:dyDescent="0.3">
      <c r="A15" s="22">
        <v>14</v>
      </c>
      <c r="B15" s="23" t="s">
        <v>81</v>
      </c>
      <c r="C15" s="24" t="s">
        <v>82</v>
      </c>
    </row>
    <row r="16" spans="1:3" x14ac:dyDescent="0.3">
      <c r="A16" s="22">
        <v>15</v>
      </c>
      <c r="B16" s="23" t="s">
        <v>83</v>
      </c>
      <c r="C16" s="24" t="s">
        <v>84</v>
      </c>
    </row>
    <row r="17" spans="1:3" x14ac:dyDescent="0.3">
      <c r="A17" s="22">
        <v>16</v>
      </c>
      <c r="B17" s="23" t="s">
        <v>85</v>
      </c>
      <c r="C17" s="24" t="s">
        <v>86</v>
      </c>
    </row>
    <row r="18" spans="1:3" x14ac:dyDescent="0.3">
      <c r="A18" s="22">
        <v>17</v>
      </c>
      <c r="B18" s="23" t="s">
        <v>87</v>
      </c>
      <c r="C18" s="24" t="s">
        <v>88</v>
      </c>
    </row>
    <row r="19" spans="1:3" x14ac:dyDescent="0.3">
      <c r="A19" s="22">
        <v>18</v>
      </c>
      <c r="B19" s="23" t="s">
        <v>89</v>
      </c>
      <c r="C19" s="24" t="s">
        <v>90</v>
      </c>
    </row>
    <row r="20" spans="1:3" x14ac:dyDescent="0.3">
      <c r="A20" s="22">
        <v>19</v>
      </c>
      <c r="B20" s="23" t="s">
        <v>91</v>
      </c>
      <c r="C20" s="24" t="s">
        <v>92</v>
      </c>
    </row>
    <row r="21" spans="1:3" x14ac:dyDescent="0.3">
      <c r="A21" s="22">
        <v>20</v>
      </c>
      <c r="B21" s="23" t="s">
        <v>93</v>
      </c>
      <c r="C21" s="24"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Formula_Practice</vt:lpstr>
      <vt:lpstr>Lookup_Functions</vt:lpstr>
      <vt:lpstr>Pivot_Analysis</vt:lpstr>
      <vt:lpstr>Dashboard</vt:lpstr>
      <vt:lpstr>Interview_Questions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Varunkumar V</dc:creator>
  <cp:lastModifiedBy>Varunkumar V</cp:lastModifiedBy>
  <dcterms:created xsi:type="dcterms:W3CDTF">2026-07-30T13:56:38Z</dcterms:created>
  <dcterms:modified xsi:type="dcterms:W3CDTF">2026-07-30T17:45:56Z</dcterms:modified>
</cp:coreProperties>
</file>